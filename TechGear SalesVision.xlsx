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efe2bbd7c3c592e/Documents/Data analisys/Eraa Soft/"/>
    </mc:Choice>
  </mc:AlternateContent>
  <xr:revisionPtr revIDLastSave="0" documentId="14_{873451DF-A7BB-4CE3-95D6-D44AA91DB74E}" xr6:coauthVersionLast="47" xr6:coauthVersionMax="47" xr10:uidLastSave="{00000000-0000-0000-0000-000000000000}"/>
  <bookViews>
    <workbookView xWindow="-108" yWindow="-108" windowWidth="23256" windowHeight="12576" activeTab="1" xr2:uid="{4BD73CE7-0C1E-4FFD-A020-7744EA940B4A}"/>
  </bookViews>
  <sheets>
    <sheet name="Pivots" sheetId="1" r:id="rId1"/>
    <sheet name="Dashboard" sheetId="2" r:id="rId2"/>
  </sheets>
  <definedNames>
    <definedName name="Slicer_Category">#N/A</definedName>
    <definedName name="Slicer_Date_Hierarchy">#N/A</definedName>
  </definedNames>
  <calcPr calcId="191029"/>
  <pivotCaches>
    <pivotCache cacheId="302" r:id="rId3"/>
    <pivotCache cacheId="289" r:id="rId4"/>
    <pivotCache cacheId="291" r:id="rId5"/>
    <pivotCache cacheId="293" r:id="rId6"/>
    <pivotCache cacheId="295" r:id="rId7"/>
    <pivotCache cacheId="300" r:id="rId8"/>
    <pivotCache cacheId="298" r:id="rId9"/>
  </pivotCaches>
  <extLst>
    <ext xmlns:x14="http://schemas.microsoft.com/office/spreadsheetml/2009/9/main" uri="{876F7934-8845-4945-9796-88D515C7AA90}">
      <x14:pivotCaches>
        <pivotCache cacheId="25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b08ffd99-bcf8-4515-b2ba-62d14fa570f6" name="Customers" connection="Query - Customers"/>
          <x15:modelTable id="Products_445c1396-7fa1-42f8-a64c-3ccca2159049" name="Products" connection="Query - Products"/>
          <x15:modelTable id="Sales_e70912ee-2813-44e6-98d7-431cd4f1e979" name="Sales" connection="Query - Sales"/>
          <x15:modelTable id="Stores_bc667e34-1317-4b3b-93d5-3d13e495f74b" name="Stores" connection="Query - Stores"/>
          <x15:modelTable id="Targets_63a4bfe3-859e-419d-af6f-01881ad49b49" name="Targets" connection="Query - Targets"/>
          <x15:modelTable id="Calendar" name="Calendar" connection="Connection"/>
        </x15:modelTables>
        <x15:modelRelationships>
          <x15:modelRelationship fromTable="Sales" fromColumn="ProductID" toTable="Products" toColumn="ProductID"/>
          <x15:modelRelationship fromTable="Sales" fromColumn="CustomerID" toTable="Customers" toColumn="CustomerID"/>
          <x15:modelRelationship fromTable="Sales" fromColumn="StoreID" toTable="Stores" toColumn="StoreID"/>
          <x15:modelRelationship fromTable="Sales" fromColumn="Date" toTable="Calendar" toColumn="Date"/>
          <x15:modelRelationship fromTable="Targets" fromColumn="StoreID" toTable="Stores" toColumn="Stor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2C67EA-D786-4669-A5DF-F81F34BA5FFA}" name="Connection" type="104" refreshedVersion="0" background="1">
    <extLst>
      <ext xmlns:x15="http://schemas.microsoft.com/office/spreadsheetml/2010/11/main" uri="{DE250136-89BD-433C-8126-D09CA5730AF9}">
        <x15:connection id="Calendar"/>
      </ext>
    </extLst>
  </connection>
  <connection id="2" xr16:uid="{AC17DC4C-B6A9-4E63-96C5-B412C14115FD}" name="Query - Customers" description="Connection to the 'Customers' query in the workbook." type="100" refreshedVersion="8" minRefreshableVersion="5">
    <extLst>
      <ext xmlns:x15="http://schemas.microsoft.com/office/spreadsheetml/2010/11/main" uri="{DE250136-89BD-433C-8126-D09CA5730AF9}">
        <x15:connection id="1c7e9367-7842-4216-acdd-05def6424fa7"/>
      </ext>
    </extLst>
  </connection>
  <connection id="3" xr16:uid="{721BFED6-4958-4DD7-A19A-606430537A9C}" name="Query - Products" description="Connection to the 'Products' query in the workbook." type="100" refreshedVersion="8" minRefreshableVersion="5">
    <extLst>
      <ext xmlns:x15="http://schemas.microsoft.com/office/spreadsheetml/2010/11/main" uri="{DE250136-89BD-433C-8126-D09CA5730AF9}">
        <x15:connection id="cd5477c6-745c-488c-9f48-bcf4b2b4e547"/>
      </ext>
    </extLst>
  </connection>
  <connection id="4" xr16:uid="{E1A3007B-566D-415B-AED5-07CB9A6DD08E}" name="Query - Sales" description="Connection to the 'Sales' query in the workbook." type="100" refreshedVersion="8" minRefreshableVersion="5">
    <extLst>
      <ext xmlns:x15="http://schemas.microsoft.com/office/spreadsheetml/2010/11/main" uri="{DE250136-89BD-433C-8126-D09CA5730AF9}">
        <x15:connection id="b4818ac3-3717-424a-bc28-71c168ea19bc"/>
      </ext>
    </extLst>
  </connection>
  <connection id="5" xr16:uid="{42829D56-F1F7-48AD-8455-17A5079F4804}" name="Query - Stores" description="Connection to the 'Stores' query in the workbook." type="100" refreshedVersion="8" minRefreshableVersion="5">
    <extLst>
      <ext xmlns:x15="http://schemas.microsoft.com/office/spreadsheetml/2010/11/main" uri="{DE250136-89BD-433C-8126-D09CA5730AF9}">
        <x15:connection id="97fe0739-c14d-4dd0-9622-74095f187f3b"/>
      </ext>
    </extLst>
  </connection>
  <connection id="6" xr16:uid="{51774BE0-F6DB-4EF4-B5B5-9C659C8F8E7D}" name="Query - Targets" description="Connection to the 'Targets' query in the workbook." type="100" refreshedVersion="8" minRefreshableVersion="5">
    <extLst>
      <ext xmlns:x15="http://schemas.microsoft.com/office/spreadsheetml/2010/11/main" uri="{DE250136-89BD-433C-8126-D09CA5730AF9}">
        <x15:connection id="1429145a-a27a-4d0d-8565-014599f73a47"/>
      </ext>
    </extLst>
  </connection>
  <connection id="7" xr16:uid="{7ACB9D78-7AB7-4416-B151-5EC862241C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<sst xmlns="http://schemas.openxmlformats.org/spreadsheetml/2006/main" count="60" uniqueCount="49">
  <si>
    <t>Total Sales Revenue</t>
  </si>
  <si>
    <t>Total COGS</t>
  </si>
  <si>
    <t>Gross Profit</t>
  </si>
  <si>
    <t>Profit Margin %</t>
  </si>
  <si>
    <t>Row Labels</t>
  </si>
  <si>
    <t>Grand Total</t>
  </si>
  <si>
    <t>Accessories</t>
  </si>
  <si>
    <t>Laptops</t>
  </si>
  <si>
    <t>Monitors</t>
  </si>
  <si>
    <t>Tablets</t>
  </si>
  <si>
    <t>Total Sales</t>
  </si>
  <si>
    <t>Laptop Stand</t>
  </si>
  <si>
    <t>Mechanical Keyboard</t>
  </si>
  <si>
    <t>USB-C Hub</t>
  </si>
  <si>
    <t>Dell XPS</t>
  </si>
  <si>
    <t>MacBook Pro</t>
  </si>
  <si>
    <t>4K Monitor</t>
  </si>
  <si>
    <t>Gaming Monitor</t>
  </si>
  <si>
    <t>Ultrawide Monitor</t>
  </si>
  <si>
    <t>iPad Pro</t>
  </si>
  <si>
    <t>Surface Pro</t>
  </si>
  <si>
    <t>Chicago Outlet</t>
  </si>
  <si>
    <t>Houston Store</t>
  </si>
  <si>
    <t>Los Angeles Hub</t>
  </si>
  <si>
    <t>New York Flagship</t>
  </si>
  <si>
    <t>Online Store</t>
  </si>
  <si>
    <t>Target ACH %</t>
  </si>
  <si>
    <t>Chicago</t>
  </si>
  <si>
    <t>Cloud</t>
  </si>
  <si>
    <t>Houston</t>
  </si>
  <si>
    <t>Los Angeles</t>
  </si>
  <si>
    <t>New York</t>
  </si>
  <si>
    <t>Sum of CustomerID</t>
  </si>
  <si>
    <t>January</t>
  </si>
  <si>
    <t>February</t>
  </si>
  <si>
    <t>March</t>
  </si>
  <si>
    <t>April</t>
  </si>
  <si>
    <t>May</t>
  </si>
  <si>
    <t>June</t>
  </si>
  <si>
    <t>July</t>
  </si>
  <si>
    <t>August</t>
  </si>
  <si>
    <t>September</t>
  </si>
  <si>
    <t>October</t>
  </si>
  <si>
    <t>November</t>
  </si>
  <si>
    <t>December</t>
  </si>
  <si>
    <t>Sum of Quantity</t>
  </si>
  <si>
    <t>High Margin</t>
  </si>
  <si>
    <t>Standard Margin</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</si>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</sst>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5" formatCode="0.0%;\-0.0%;0.0%"/>
    <numFmt numFmtId="166" formatCode="0%;\-0%;0%"/>
    <numFmt numFmtId="168" formatCode="_(* #,##0_);_(* \(#,##0\);_(* &quot;-&quot;??_);_(@_)"/>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9" fontId="0" fillId="0" borderId="0" xfId="0" applyNumberFormat="1"/>
    <xf numFmtId="3" fontId="0" fillId="0" borderId="0" xfId="0" applyNumberFormat="1"/>
    <xf numFmtId="0" fontId="0" fillId="2" borderId="0" xfId="0" applyFill="1"/>
    <xf numFmtId="168" fontId="0" fillId="0" borderId="0" xfId="0" applyNumberFormat="1"/>
  </cellXfs>
  <cellStyles count="1">
    <cellStyle name="Normal" xfId="0" builtinId="0"/>
  </cellStyles>
  <dxfs count="9">
    <dxf>
      <font>
        <b/>
        <i val="0"/>
        <sz val="18"/>
        <color theme="8" tint="0.79995117038483843"/>
        <name val="Bahnschrift"/>
        <family val="2"/>
        <scheme val="none"/>
      </font>
      <fill>
        <patternFill>
          <bgColor theme="8" tint="-0.24994659260841701"/>
        </patternFill>
      </fill>
      <border diagonalUp="0" diagonalDown="0">
        <left/>
        <right/>
        <top/>
        <bottom/>
        <vertical/>
        <horizontal/>
      </border>
    </dxf>
    <dxf>
      <font>
        <b/>
        <i val="0"/>
        <sz val="18"/>
        <color theme="8" tint="-0.499984740745262"/>
        <name val="Bahnschrift"/>
        <family val="2"/>
        <scheme val="none"/>
      </font>
      <border diagonalUp="0" diagonalDown="0">
        <left/>
        <right/>
        <top/>
        <bottom/>
        <vertical/>
        <horizontal/>
      </border>
    </dxf>
    <dxf>
      <numFmt numFmtId="165" formatCode="0.0%;\-0.0%;0.0%"/>
    </dxf>
    <dxf>
      <numFmt numFmtId="3" formatCode="#,##0"/>
    </dxf>
    <dxf>
      <numFmt numFmtId="168" formatCode="_(* #,##0_);_(* \(#,##0\);_(* &quot;-&quot;??_);_(@_)"/>
    </dxf>
    <dxf>
      <numFmt numFmtId="166" formatCode="0%;\-0%;0%"/>
    </dxf>
    <dxf>
      <numFmt numFmtId="13" formatCode="0%"/>
    </dxf>
    <dxf>
      <numFmt numFmtId="168" formatCode="_(* #,##0_);_(* \(#,##0\);_(* &quot;-&quot;??_);_(@_)"/>
    </dxf>
    <dxf>
      <numFmt numFmtId="13" formatCode="0%"/>
    </dxf>
  </dxfs>
  <tableStyles count="1" defaultTableStyle="TableStyleMedium2" defaultPivotStyle="PivotStyleLight16">
    <tableStyle name="SlicerStyleLight5 2" pivot="0" table="0" count="10" xr9:uid="{0BA548A8-D650-4D0C-8730-9F22438C1F1E}">
      <tableStyleElement type="wholeTable" dxfId="1"/>
      <tableStyleElement type="headerRow" dxfId="0"/>
    </tableStyle>
  </tableStyles>
  <extLst>
    <ext xmlns:x14="http://schemas.microsoft.com/office/spreadsheetml/2009/9/main" uri="{46F421CA-312F-682f-3DD2-61675219B42D}">
      <x14:dxfs count="16">
        <dxf>
          <font>
            <b/>
            <i val="0"/>
            <sz val="18"/>
            <color theme="8" tint="-0.499984740745262"/>
            <name val="Bahnschrift"/>
            <family val="2"/>
            <scheme val="none"/>
          </font>
          <fill>
            <patternFill patternType="solid">
              <fgColor auto="1"/>
              <bgColor theme="8" tint="0.79998168889431442"/>
            </patternFill>
          </fill>
          <border diagonalUp="0" diagonalDown="0">
            <left/>
            <right/>
            <top/>
            <bottom/>
            <vertical/>
            <horizontal/>
          </border>
        </dxf>
        <dxf>
          <font>
            <b/>
            <i val="0"/>
            <sz val="18"/>
            <color theme="8" tint="-0.499984740745262"/>
            <name val="Bahnschrift"/>
            <family val="2"/>
            <scheme val="none"/>
          </font>
          <fill>
            <patternFill patternType="solid">
              <fgColor auto="1"/>
              <bgColor theme="8" tint="0.79998168889431442"/>
            </patternFill>
          </fill>
          <border diagonalUp="0" diagonalDown="0">
            <left/>
            <right/>
            <top/>
            <bottom/>
            <vertical/>
            <horizontal/>
          </border>
        </dxf>
        <dxf>
          <font>
            <b/>
            <i val="0"/>
            <sz val="18"/>
            <color theme="8" tint="-0.499984740745262"/>
            <name val="Bahnschrift"/>
            <family val="2"/>
            <scheme val="none"/>
          </font>
          <fill>
            <patternFill patternType="solid">
              <fgColor auto="1"/>
              <bgColor theme="8" tint="0.79998168889431442"/>
            </patternFill>
          </fill>
          <border diagonalUp="0" diagonalDown="0">
            <left/>
            <right/>
            <top/>
            <bottom/>
            <vertical/>
            <horizontal/>
          </border>
        </dxf>
        <dxf>
          <font>
            <b/>
            <i val="0"/>
            <sz val="18"/>
            <color theme="8" tint="-0.499984740745262"/>
            <name val="Bahnschrift"/>
            <family val="2"/>
            <scheme val="none"/>
          </font>
          <fill>
            <patternFill patternType="solid">
              <fgColor auto="1"/>
              <bgColor theme="8" tint="0.79998168889431442"/>
            </patternFill>
          </fill>
          <border diagonalUp="0" diagonalDown="0">
            <left/>
            <right/>
            <top/>
            <bottom/>
            <vertical/>
            <horizontal/>
          </border>
        </dxf>
        <dxf>
          <font>
            <b/>
            <i val="0"/>
            <sz val="18"/>
            <color theme="8" tint="0.39991454817346722"/>
            <name val="Bahnschrift"/>
            <family val="2"/>
            <scheme val="none"/>
          </font>
          <fill>
            <patternFill patternType="solid">
              <fgColor theme="8" tint="0.79998168889431442"/>
              <bgColor theme="8" tint="0.79998168889431442"/>
            </patternFill>
          </fill>
          <border diagonalUp="0" diagonalDown="0">
            <left/>
            <right/>
            <top/>
            <bottom/>
            <vertical/>
            <horizontal/>
          </border>
        </dxf>
        <dxf>
          <font>
            <b/>
            <i val="0"/>
            <sz val="18"/>
            <color theme="8" tint="-0.499984740745262"/>
            <name val="Bahnschrift"/>
            <family val="2"/>
            <scheme val="none"/>
          </font>
          <fill>
            <patternFill patternType="solid">
              <fgColor theme="8" tint="0.59999389629810485"/>
              <bgColor theme="8" tint="0.79998168889431442"/>
            </patternFill>
          </fill>
          <border diagonalUp="0" diagonalDown="0">
            <left/>
            <right/>
            <top/>
            <bottom/>
            <vertical/>
            <horizontal/>
          </border>
        </dxf>
        <dxf>
          <font>
            <b/>
            <i val="0"/>
            <sz val="18"/>
            <color theme="8" tint="0.39991454817346722"/>
            <name val="Bahnschrift"/>
            <family val="2"/>
            <scheme val="none"/>
          </font>
          <fill>
            <patternFill patternType="solid">
              <fgColor rgb="FFFFFFFF"/>
              <bgColor theme="8" tint="0.79998168889431442"/>
            </patternFill>
          </fill>
          <border diagonalUp="0" diagonalDown="0">
            <left/>
            <right/>
            <top/>
            <bottom/>
            <vertical/>
            <horizontal/>
          </border>
        </dxf>
        <dxf>
          <font>
            <b/>
            <i val="0"/>
            <sz val="18"/>
            <color theme="8" tint="-0.499984740745262"/>
            <name val="Bahnschrift"/>
            <family val="2"/>
            <scheme val="none"/>
          </font>
          <fill>
            <patternFill patternType="solid">
              <fgColor rgb="FFFFFFFF"/>
              <bgColor theme="8" tint="0.79998168889431442"/>
            </patternFill>
          </fill>
          <border diagonalUp="0" diagonalDown="0">
            <left/>
            <right/>
            <top/>
            <bottom/>
            <vertical/>
            <horizontal/>
          </border>
        </dxf>
        <dxf>
          <font>
            <b/>
            <i val="0"/>
            <sz val="10"/>
            <color theme="8" tint="-0.499984740745262"/>
            <name val="Bahnschrift"/>
            <family val="2"/>
            <scheme val="none"/>
          </font>
          <fill>
            <patternFill patternType="solid">
              <fgColor auto="1"/>
              <bgColor theme="8" tint="0.79998168889431442"/>
            </patternFill>
          </fill>
          <border diagonalUp="0" diagonalDown="0">
            <left/>
            <right/>
            <top/>
            <bottom/>
            <vertical/>
            <horizontal/>
          </border>
        </dxf>
        <dxf>
          <font>
            <b/>
            <i val="0"/>
            <sz val="10"/>
            <color theme="8" tint="-0.499984740745262"/>
            <name val="Bahnschrift"/>
            <family val="2"/>
            <scheme val="none"/>
          </font>
          <fill>
            <patternFill patternType="solid">
              <fgColor auto="1"/>
              <bgColor theme="8" tint="0.79998168889431442"/>
            </patternFill>
          </fill>
          <border diagonalUp="0" diagonalDown="0">
            <left/>
            <right/>
            <top/>
            <bottom/>
            <vertical/>
            <horizontal/>
          </border>
        </dxf>
        <dxf>
          <font>
            <b/>
            <i val="0"/>
            <sz val="10"/>
            <color theme="8" tint="-0.499984740745262"/>
            <name val="Bahnschrift"/>
            <family val="2"/>
            <scheme val="none"/>
          </font>
          <fill>
            <patternFill patternType="solid">
              <fgColor auto="1"/>
              <bgColor theme="8" tint="0.79998168889431442"/>
            </patternFill>
          </fill>
          <border diagonalUp="0" diagonalDown="0">
            <left/>
            <right/>
            <top/>
            <bottom/>
            <vertical/>
            <horizontal/>
          </border>
        </dxf>
        <dxf>
          <font>
            <b/>
            <i val="0"/>
            <sz val="10"/>
            <color theme="8" tint="-0.499984740745262"/>
            <name val="Bahnschrift"/>
            <family val="2"/>
            <scheme val="none"/>
          </font>
          <fill>
            <patternFill patternType="solid">
              <fgColor auto="1"/>
              <bgColor theme="8" tint="0.79998168889431442"/>
            </patternFill>
          </fill>
          <border diagonalUp="0" diagonalDown="0">
            <left/>
            <right/>
            <top/>
            <bottom/>
            <vertical/>
            <horizontal/>
          </border>
        </dxf>
        <dxf>
          <font>
            <b/>
            <i val="0"/>
            <sz val="10"/>
            <color theme="8" tint="0.39994506668294322"/>
            <name val="Bahnschrift"/>
            <family val="2"/>
            <scheme val="none"/>
          </font>
          <fill>
            <patternFill patternType="solid">
              <fgColor theme="8" tint="0.79998168889431442"/>
              <bgColor theme="8" tint="0.79998168889431442"/>
            </patternFill>
          </fill>
          <border diagonalUp="0" diagonalDown="0">
            <left/>
            <right/>
            <top/>
            <bottom/>
            <vertical/>
            <horizontal/>
          </border>
        </dxf>
        <dxf>
          <font>
            <b/>
            <i val="0"/>
            <sz val="10"/>
            <color theme="8" tint="-0.499984740745262"/>
            <name val="Bahnschrift"/>
            <family val="2"/>
            <scheme val="none"/>
          </font>
          <fill>
            <patternFill patternType="solid">
              <fgColor theme="8" tint="0.59999389629810485"/>
              <bgColor theme="8" tint="0.79998168889431442"/>
            </patternFill>
          </fill>
          <border diagonalUp="0" diagonalDown="0">
            <left/>
            <right/>
            <top/>
            <bottom/>
            <vertical/>
            <horizontal/>
          </border>
        </dxf>
        <dxf>
          <font>
            <b/>
            <i val="0"/>
            <sz val="10"/>
            <color theme="8" tint="0.39994506668294322"/>
            <name val="Bahnschrift"/>
            <family val="2"/>
            <scheme val="none"/>
          </font>
          <fill>
            <patternFill patternType="solid">
              <fgColor rgb="FFFFFFFF"/>
              <bgColor theme="8" tint="0.79998168889431442"/>
            </patternFill>
          </fill>
          <border diagonalUp="0" diagonalDown="0">
            <left/>
            <right/>
            <top/>
            <bottom/>
            <vertical/>
            <horizontal/>
          </border>
        </dxf>
        <dxf>
          <font>
            <b/>
            <i val="0"/>
            <sz val="10"/>
            <color theme="8" tint="-0.499984740745262"/>
            <name val="Bahnschrift"/>
            <family val="2"/>
            <scheme val="none"/>
          </font>
          <fill>
            <patternFill patternType="solid">
              <fgColor rgb="FFFFFFFF"/>
              <bgColor theme="8"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0" Type="http://schemas.openxmlformats.org/officeDocument/2006/relationships/customXml" Target="../customXml/item3.xml"/><Relationship Id="rId4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Pivots!$J$2</c:f>
              <c:strCache>
                <c:ptCount val="1"/>
                <c:pt idx="0">
                  <c:v>Total</c:v>
                </c:pt>
              </c:strCache>
            </c:strRef>
          </c:tx>
          <c:spPr>
            <a:solidFill>
              <a:schemeClr val="accent1"/>
            </a:solidFill>
            <a:ln>
              <a:noFill/>
            </a:ln>
            <a:effectLst/>
          </c:spPr>
          <c:invertIfNegative val="0"/>
          <c:cat>
            <c:strRef>
              <c:f>Pivots!$I$3:$I$13</c:f>
              <c:strCache>
                <c:ptCount val="10"/>
                <c:pt idx="0">
                  <c:v>Surface Pro</c:v>
                </c:pt>
                <c:pt idx="1">
                  <c:v>Dell XPS</c:v>
                </c:pt>
                <c:pt idx="2">
                  <c:v>iPad Pro</c:v>
                </c:pt>
                <c:pt idx="3">
                  <c:v>Ultrawide Monitor</c:v>
                </c:pt>
                <c:pt idx="4">
                  <c:v>Laptop Stand</c:v>
                </c:pt>
                <c:pt idx="5">
                  <c:v>MacBook Pro</c:v>
                </c:pt>
                <c:pt idx="6">
                  <c:v>USB-C Hub</c:v>
                </c:pt>
                <c:pt idx="7">
                  <c:v>4K Monitor</c:v>
                </c:pt>
                <c:pt idx="8">
                  <c:v>Mechanical Keyboard</c:v>
                </c:pt>
                <c:pt idx="9">
                  <c:v>Gaming Monitor</c:v>
                </c:pt>
              </c:strCache>
            </c:strRef>
          </c:cat>
          <c:val>
            <c:numRef>
              <c:f>Pivots!$J$3:$J$13</c:f>
              <c:numCache>
                <c:formatCode>_(* #,##0_);_(* \(#,##0\);_(* "-"??_);_(@_)</c:formatCode>
                <c:ptCount val="10"/>
                <c:pt idx="0">
                  <c:v>828960.48000000068</c:v>
                </c:pt>
                <c:pt idx="1">
                  <c:v>706581.82</c:v>
                </c:pt>
                <c:pt idx="2">
                  <c:v>662859.52200000046</c:v>
                </c:pt>
                <c:pt idx="3">
                  <c:v>544465.71300000045</c:v>
                </c:pt>
                <c:pt idx="4">
                  <c:v>505826.57699999987</c:v>
                </c:pt>
                <c:pt idx="5">
                  <c:v>493242.19750000018</c:v>
                </c:pt>
                <c:pt idx="6">
                  <c:v>358794.38399999961</c:v>
                </c:pt>
                <c:pt idx="7">
                  <c:v>312617.3560000002</c:v>
                </c:pt>
                <c:pt idx="8">
                  <c:v>275324.60099999979</c:v>
                </c:pt>
                <c:pt idx="9">
                  <c:v>218679.52050000039</c:v>
                </c:pt>
              </c:numCache>
            </c:numRef>
          </c:val>
          <c:extLst>
            <c:ext xmlns:c16="http://schemas.microsoft.com/office/drawing/2014/chart" uri="{C3380CC4-5D6E-409C-BE32-E72D297353CC}">
              <c16:uniqueId val="{00000000-3576-4C17-8783-B08A0693AA9B}"/>
            </c:ext>
          </c:extLst>
        </c:ser>
        <c:dLbls>
          <c:showLegendKey val="0"/>
          <c:showVal val="0"/>
          <c:showCatName val="0"/>
          <c:showSerName val="0"/>
          <c:showPercent val="0"/>
          <c:showBubbleSize val="0"/>
        </c:dLbls>
        <c:gapWidth val="219"/>
        <c:overlap val="-27"/>
        <c:axId val="291691296"/>
        <c:axId val="291698976"/>
      </c:barChart>
      <c:catAx>
        <c:axId val="29169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98976"/>
        <c:crosses val="autoZero"/>
        <c:auto val="1"/>
        <c:lblAlgn val="ctr"/>
        <c:lblOffset val="100"/>
        <c:noMultiLvlLbl val="0"/>
      </c:catAx>
      <c:valAx>
        <c:axId val="291698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9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Pivots!$M$2</c:f>
              <c:strCache>
                <c:ptCount val="1"/>
                <c:pt idx="0">
                  <c:v>Total</c:v>
                </c:pt>
              </c:strCache>
            </c:strRef>
          </c:tx>
          <c:spPr>
            <a:solidFill>
              <a:schemeClr val="accent1"/>
            </a:solidFill>
            <a:ln>
              <a:noFill/>
            </a:ln>
            <a:effectLst/>
          </c:spPr>
          <c:invertIfNegative val="0"/>
          <c:cat>
            <c:strRef>
              <c:f>Pivots!$L$3:$L$8</c:f>
              <c:strCache>
                <c:ptCount val="5"/>
                <c:pt idx="0">
                  <c:v>Los Angeles Hub</c:v>
                </c:pt>
                <c:pt idx="1">
                  <c:v>Houston Store</c:v>
                </c:pt>
                <c:pt idx="2">
                  <c:v>Chicago Outlet</c:v>
                </c:pt>
                <c:pt idx="3">
                  <c:v>Online Store</c:v>
                </c:pt>
                <c:pt idx="4">
                  <c:v>New York Flagship</c:v>
                </c:pt>
              </c:strCache>
            </c:strRef>
          </c:cat>
          <c:val>
            <c:numRef>
              <c:f>Pivots!$M$3:$M$8</c:f>
              <c:numCache>
                <c:formatCode>0%;\-0%;0%</c:formatCode>
                <c:ptCount val="5"/>
                <c:pt idx="0">
                  <c:v>4.664749353005746</c:v>
                </c:pt>
                <c:pt idx="1">
                  <c:v>4.4985383638366372</c:v>
                </c:pt>
                <c:pt idx="2">
                  <c:v>4.4818900115833911</c:v>
                </c:pt>
                <c:pt idx="3">
                  <c:v>4.1904615829189202</c:v>
                </c:pt>
                <c:pt idx="4">
                  <c:v>4.0946439094429286</c:v>
                </c:pt>
              </c:numCache>
            </c:numRef>
          </c:val>
          <c:extLst>
            <c:ext xmlns:c16="http://schemas.microsoft.com/office/drawing/2014/chart" uri="{C3380CC4-5D6E-409C-BE32-E72D297353CC}">
              <c16:uniqueId val="{00000000-749F-4577-B8A4-650A0817025E}"/>
            </c:ext>
          </c:extLst>
        </c:ser>
        <c:dLbls>
          <c:showLegendKey val="0"/>
          <c:showVal val="0"/>
          <c:showCatName val="0"/>
          <c:showSerName val="0"/>
          <c:showPercent val="0"/>
          <c:showBubbleSize val="0"/>
        </c:dLbls>
        <c:gapWidth val="182"/>
        <c:axId val="291690336"/>
        <c:axId val="291717696"/>
      </c:barChart>
      <c:catAx>
        <c:axId val="29169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17696"/>
        <c:crosses val="autoZero"/>
        <c:auto val="1"/>
        <c:lblAlgn val="ctr"/>
        <c:lblOffset val="100"/>
        <c:noMultiLvlLbl val="0"/>
      </c:catAx>
      <c:valAx>
        <c:axId val="2917176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9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Pivots!$Q$2</c:f>
              <c:strCache>
                <c:ptCount val="1"/>
                <c:pt idx="0">
                  <c:v>Total</c:v>
                </c:pt>
              </c:strCache>
            </c:strRef>
          </c:tx>
          <c:spPr>
            <a:solidFill>
              <a:schemeClr val="accent1"/>
            </a:solidFill>
            <a:ln>
              <a:noFill/>
            </a:ln>
            <a:effectLst/>
          </c:spPr>
          <c:invertIfNegative val="0"/>
          <c:cat>
            <c:strRef>
              <c:f>Pivots!$P$3:$P$8</c:f>
              <c:strCache>
                <c:ptCount val="5"/>
                <c:pt idx="0">
                  <c:v>Los Angeles</c:v>
                </c:pt>
                <c:pt idx="1">
                  <c:v>Chicago</c:v>
                </c:pt>
                <c:pt idx="2">
                  <c:v>Cloud</c:v>
                </c:pt>
                <c:pt idx="3">
                  <c:v>Houston</c:v>
                </c:pt>
                <c:pt idx="4">
                  <c:v>New York</c:v>
                </c:pt>
              </c:strCache>
            </c:strRef>
          </c:cat>
          <c:val>
            <c:numRef>
              <c:f>Pivots!$Q$3:$Q$8</c:f>
              <c:numCache>
                <c:formatCode>General</c:formatCode>
                <c:ptCount val="5"/>
                <c:pt idx="0">
                  <c:v>26484</c:v>
                </c:pt>
                <c:pt idx="1">
                  <c:v>26276</c:v>
                </c:pt>
                <c:pt idx="2">
                  <c:v>25615</c:v>
                </c:pt>
                <c:pt idx="3">
                  <c:v>25054</c:v>
                </c:pt>
                <c:pt idx="4">
                  <c:v>24890</c:v>
                </c:pt>
              </c:numCache>
            </c:numRef>
          </c:val>
          <c:extLst>
            <c:ext xmlns:c16="http://schemas.microsoft.com/office/drawing/2014/chart" uri="{C3380CC4-5D6E-409C-BE32-E72D297353CC}">
              <c16:uniqueId val="{00000000-E7B2-4801-B136-8D3EE9C628DF}"/>
            </c:ext>
          </c:extLst>
        </c:ser>
        <c:dLbls>
          <c:showLegendKey val="0"/>
          <c:showVal val="0"/>
          <c:showCatName val="0"/>
          <c:showSerName val="0"/>
          <c:showPercent val="0"/>
          <c:showBubbleSize val="0"/>
        </c:dLbls>
        <c:gapWidth val="182"/>
        <c:axId val="291698016"/>
        <c:axId val="291711456"/>
      </c:barChart>
      <c:catAx>
        <c:axId val="29169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11456"/>
        <c:crosses val="autoZero"/>
        <c:auto val="1"/>
        <c:lblAlgn val="ctr"/>
        <c:lblOffset val="100"/>
        <c:noMultiLvlLbl val="0"/>
      </c:catAx>
      <c:valAx>
        <c:axId val="29171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9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Pivots!$T$3</c:f>
              <c:strCache>
                <c:ptCount val="1"/>
                <c:pt idx="0">
                  <c:v>Total</c:v>
                </c:pt>
              </c:strCache>
            </c:strRef>
          </c:tx>
          <c:spPr>
            <a:ln w="28575" cap="rnd">
              <a:solidFill>
                <a:schemeClr val="accent1"/>
              </a:solidFill>
              <a:round/>
            </a:ln>
            <a:effectLst/>
          </c:spPr>
          <c:marker>
            <c:symbol val="none"/>
          </c:marker>
          <c:cat>
            <c:strRef>
              <c:f>Pivots!$S$4:$S$16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Pivots!$T$4:$T$16</c:f>
              <c:numCache>
                <c:formatCode>0</c:formatCode>
                <c:ptCount val="12"/>
                <c:pt idx="0">
                  <c:v>471360.80000000045</c:v>
                </c:pt>
                <c:pt idx="1">
                  <c:v>452686.21000000054</c:v>
                </c:pt>
                <c:pt idx="2">
                  <c:v>398441.3700000004</c:v>
                </c:pt>
                <c:pt idx="3">
                  <c:v>482492.51000000036</c:v>
                </c:pt>
                <c:pt idx="4">
                  <c:v>510903.19000000058</c:v>
                </c:pt>
                <c:pt idx="5">
                  <c:v>441923.85000000044</c:v>
                </c:pt>
                <c:pt idx="6">
                  <c:v>426109.12000000046</c:v>
                </c:pt>
                <c:pt idx="7">
                  <c:v>465847.74000000011</c:v>
                </c:pt>
                <c:pt idx="8">
                  <c:v>529500.94000000088</c:v>
                </c:pt>
                <c:pt idx="9">
                  <c:v>455537.3600000008</c:v>
                </c:pt>
                <c:pt idx="10">
                  <c:v>440766.09000000043</c:v>
                </c:pt>
                <c:pt idx="11">
                  <c:v>457857.9600000006</c:v>
                </c:pt>
              </c:numCache>
            </c:numRef>
          </c:val>
          <c:smooth val="0"/>
          <c:extLst>
            <c:ext xmlns:c16="http://schemas.microsoft.com/office/drawing/2014/chart" uri="{C3380CC4-5D6E-409C-BE32-E72D297353CC}">
              <c16:uniqueId val="{00000000-DE8E-42A1-94CC-30052312AD23}"/>
            </c:ext>
          </c:extLst>
        </c:ser>
        <c:dLbls>
          <c:showLegendKey val="0"/>
          <c:showVal val="0"/>
          <c:showCatName val="0"/>
          <c:showSerName val="0"/>
          <c:showPercent val="0"/>
          <c:showBubbleSize val="0"/>
        </c:dLbls>
        <c:smooth val="0"/>
        <c:axId val="291723456"/>
        <c:axId val="291721056"/>
      </c:lineChart>
      <c:catAx>
        <c:axId val="29172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21056"/>
        <c:crosses val="autoZero"/>
        <c:auto val="1"/>
        <c:lblAlgn val="ctr"/>
        <c:lblOffset val="100"/>
        <c:noMultiLvlLbl val="0"/>
      </c:catAx>
      <c:valAx>
        <c:axId val="291721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2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Pivots!$W$2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Pivots!$V$3:$V$7</c:f>
              <c:strCache>
                <c:ptCount val="4"/>
                <c:pt idx="0">
                  <c:v>Accessories</c:v>
                </c:pt>
                <c:pt idx="1">
                  <c:v>Laptops</c:v>
                </c:pt>
                <c:pt idx="2">
                  <c:v>Monitors</c:v>
                </c:pt>
                <c:pt idx="3">
                  <c:v>Tablets</c:v>
                </c:pt>
              </c:strCache>
            </c:strRef>
          </c:cat>
          <c:val>
            <c:numRef>
              <c:f>Pivots!$W$3:$W$7</c:f>
              <c:numCache>
                <c:formatCode>General</c:formatCode>
                <c:ptCount val="4"/>
                <c:pt idx="0">
                  <c:v>1653</c:v>
                </c:pt>
                <c:pt idx="1">
                  <c:v>1773</c:v>
                </c:pt>
                <c:pt idx="2">
                  <c:v>1387</c:v>
                </c:pt>
                <c:pt idx="3">
                  <c:v>1372</c:v>
                </c:pt>
              </c:numCache>
            </c:numRef>
          </c:val>
          <c:extLst>
            <c:ext xmlns:c16="http://schemas.microsoft.com/office/drawing/2014/chart" uri="{C3380CC4-5D6E-409C-BE32-E72D297353CC}">
              <c16:uniqueId val="{00000000-7E0A-48A3-8978-8FC4038AD6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Pivots!$Z$2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Pivots!$Y$3:$Y$5</c:f>
              <c:strCache>
                <c:ptCount val="2"/>
                <c:pt idx="0">
                  <c:v>High Margin</c:v>
                </c:pt>
                <c:pt idx="1">
                  <c:v>Standard Margin</c:v>
                </c:pt>
              </c:strCache>
            </c:strRef>
          </c:cat>
          <c:val>
            <c:numRef>
              <c:f>Pivots!$Z$3:$Z$5</c:f>
              <c:numCache>
                <c:formatCode>0%</c:formatCode>
                <c:ptCount val="2"/>
                <c:pt idx="0">
                  <c:v>0.27397260273972601</c:v>
                </c:pt>
                <c:pt idx="1">
                  <c:v>0.72602739726027388</c:v>
                </c:pt>
              </c:numCache>
            </c:numRef>
          </c:val>
          <c:extLst>
            <c:ext xmlns:c16="http://schemas.microsoft.com/office/drawing/2014/chart" uri="{C3380CC4-5D6E-409C-BE32-E72D297353CC}">
              <c16:uniqueId val="{00000000-E7A0-4E01-867B-D9B6E0271A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[TechGear_Sales_Data-Task.xlsx]Pivots!PivotTable2</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accent5">
                    <a:lumMod val="50000"/>
                  </a:schemeClr>
                </a:solidFill>
                <a:latin typeface="Bahnschrift" panose="020B0502040204020203" pitchFamily="34" charset="0"/>
              </a:rPr>
              <a:t>Best-Selling Products Revenue (</a:t>
            </a:r>
            <a:r>
              <a:rPr lang="en-US" sz="1600" b="1" i="0" u="none" strike="noStrike" baseline="0">
                <a:solidFill>
                  <a:schemeClr val="accent5">
                    <a:lumMod val="50000"/>
                  </a:schemeClr>
                </a:solidFill>
                <a:latin typeface="Bahnschrift" panose="020B0502040204020203" pitchFamily="34" charset="0"/>
              </a:rPr>
              <a:t>TOP 10</a:t>
            </a:r>
            <a:r>
              <a:rPr lang="en-US" sz="2000" b="1" i="0" u="none" strike="noStrike" baseline="0">
                <a:solidFill>
                  <a:schemeClr val="accent5">
                    <a:lumMod val="50000"/>
                  </a:schemeClr>
                </a:solidFill>
                <a:latin typeface="Bahnschrift" panose="020B0502040204020203" pitchFamily="34" charset="0"/>
              </a:rPr>
              <a:t>)</a:t>
            </a:r>
            <a:endParaRPr lang="en-US" sz="2000" b="1" baseline="0">
              <a:solidFill>
                <a:schemeClr val="accent5">
                  <a:lumMod val="50000"/>
                </a:scheme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s>
    <c:plotArea>
      <c:layout>
        <c:manualLayout>
          <c:layoutTarget val="inner"/>
          <c:xMode val="edge"/>
          <c:yMode val="edge"/>
          <c:x val="5.2106753290366459E-2"/>
          <c:y val="0.14690860184569887"/>
          <c:w val="0.94617532182837039"/>
          <c:h val="0.42747909288275865"/>
        </c:manualLayout>
      </c:layout>
      <c:barChart>
        <c:barDir val="col"/>
        <c:grouping val="clustered"/>
        <c:varyColors val="0"/>
        <c:ser>
          <c:idx val="0"/>
          <c:order val="0"/>
          <c:tx>
            <c:strRef>
              <c:f>Pivots!$J$2</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181D-4E51-8B4B-C8975ECC2C5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Pivots!$I$3:$I$13</c:f>
              <c:strCache>
                <c:ptCount val="10"/>
                <c:pt idx="0">
                  <c:v>Surface Pro</c:v>
                </c:pt>
                <c:pt idx="1">
                  <c:v>Dell XPS</c:v>
                </c:pt>
                <c:pt idx="2">
                  <c:v>iPad Pro</c:v>
                </c:pt>
                <c:pt idx="3">
                  <c:v>Ultrawide Monitor</c:v>
                </c:pt>
                <c:pt idx="4">
                  <c:v>Laptop Stand</c:v>
                </c:pt>
                <c:pt idx="5">
                  <c:v>MacBook Pro</c:v>
                </c:pt>
                <c:pt idx="6">
                  <c:v>USB-C Hub</c:v>
                </c:pt>
                <c:pt idx="7">
                  <c:v>4K Monitor</c:v>
                </c:pt>
                <c:pt idx="8">
                  <c:v>Mechanical Keyboard</c:v>
                </c:pt>
                <c:pt idx="9">
                  <c:v>Gaming Monitor</c:v>
                </c:pt>
              </c:strCache>
            </c:strRef>
          </c:cat>
          <c:val>
            <c:numRef>
              <c:f>Pivots!$J$3:$J$13</c:f>
              <c:numCache>
                <c:formatCode>_(* #,##0_);_(* \(#,##0\);_(* "-"??_);_(@_)</c:formatCode>
                <c:ptCount val="10"/>
                <c:pt idx="0">
                  <c:v>828960.48000000068</c:v>
                </c:pt>
                <c:pt idx="1">
                  <c:v>706581.82</c:v>
                </c:pt>
                <c:pt idx="2">
                  <c:v>662859.52200000046</c:v>
                </c:pt>
                <c:pt idx="3">
                  <c:v>544465.71300000045</c:v>
                </c:pt>
                <c:pt idx="4">
                  <c:v>505826.57699999987</c:v>
                </c:pt>
                <c:pt idx="5">
                  <c:v>493242.19750000018</c:v>
                </c:pt>
                <c:pt idx="6">
                  <c:v>358794.38399999961</c:v>
                </c:pt>
                <c:pt idx="7">
                  <c:v>312617.3560000002</c:v>
                </c:pt>
                <c:pt idx="8">
                  <c:v>275324.60099999979</c:v>
                </c:pt>
                <c:pt idx="9">
                  <c:v>218679.52050000039</c:v>
                </c:pt>
              </c:numCache>
            </c:numRef>
          </c:val>
          <c:extLst>
            <c:ext xmlns:c16="http://schemas.microsoft.com/office/drawing/2014/chart" uri="{C3380CC4-5D6E-409C-BE32-E72D297353CC}">
              <c16:uniqueId val="{00000000-181D-4E51-8B4B-C8975ECC2C51}"/>
            </c:ext>
          </c:extLst>
        </c:ser>
        <c:dLbls>
          <c:showLegendKey val="0"/>
          <c:showVal val="0"/>
          <c:showCatName val="0"/>
          <c:showSerName val="0"/>
          <c:showPercent val="0"/>
          <c:showBubbleSize val="0"/>
        </c:dLbls>
        <c:gapWidth val="75"/>
        <c:overlap val="-27"/>
        <c:axId val="291691296"/>
        <c:axId val="291698976"/>
      </c:barChart>
      <c:catAx>
        <c:axId val="29169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5">
                    <a:lumMod val="50000"/>
                  </a:schemeClr>
                </a:solidFill>
                <a:latin typeface="Bahnschrift" panose="020B0502040204020203" pitchFamily="34" charset="0"/>
                <a:ea typeface="+mn-ea"/>
                <a:cs typeface="+mn-cs"/>
              </a:defRPr>
            </a:pPr>
            <a:endParaRPr lang="en-US"/>
          </a:p>
        </c:txPr>
        <c:crossAx val="291698976"/>
        <c:crosses val="autoZero"/>
        <c:auto val="1"/>
        <c:lblAlgn val="ctr"/>
        <c:lblOffset val="100"/>
        <c:noMultiLvlLbl val="0"/>
      </c:catAx>
      <c:valAx>
        <c:axId val="291698976"/>
        <c:scaling>
          <c:orientation val="minMax"/>
        </c:scaling>
        <c:delete val="1"/>
        <c:axPos val="l"/>
        <c:numFmt formatCode="_(* #,##0_);_(* \(#,##0\);_(* &quot;-&quot;??_);_(@_)" sourceLinked="1"/>
        <c:majorTickMark val="none"/>
        <c:minorTickMark val="none"/>
        <c:tickLblPos val="nextTo"/>
        <c:crossAx val="29169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[TechGear_Sales_Data-Task.xlsx]Pivots!PivotTable3</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accent5">
                    <a:lumMod val="50000"/>
                  </a:schemeClr>
                </a:solidFill>
                <a:latin typeface="Bahnschrift" panose="020B0502040204020203" pitchFamily="34" charset="0"/>
              </a:rPr>
              <a:t>Target Performance Overview</a:t>
            </a:r>
            <a:endParaRPr lang="en-US" sz="2000" b="1" baseline="0">
              <a:solidFill>
                <a:schemeClr val="accent5">
                  <a:lumMod val="50000"/>
                </a:scheme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s>
    <c:plotArea>
      <c:layout>
        <c:manualLayout>
          <c:layoutTarget val="inner"/>
          <c:xMode val="edge"/>
          <c:yMode val="edge"/>
          <c:x val="0.22427730769566159"/>
          <c:y val="0.2131675750200277"/>
          <c:w val="0.75086163925277316"/>
          <c:h val="0.76193260265098806"/>
        </c:manualLayout>
      </c:layout>
      <c:barChart>
        <c:barDir val="bar"/>
        <c:grouping val="clustered"/>
        <c:varyColors val="0"/>
        <c:ser>
          <c:idx val="0"/>
          <c:order val="0"/>
          <c:tx>
            <c:strRef>
              <c:f>Pivots!$M$2</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49FA-4A42-AC68-178D6909B86E}"/>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Pivots!$L$3:$L$8</c:f>
              <c:strCache>
                <c:ptCount val="5"/>
                <c:pt idx="0">
                  <c:v>Los Angeles Hub</c:v>
                </c:pt>
                <c:pt idx="1">
                  <c:v>Houston Store</c:v>
                </c:pt>
                <c:pt idx="2">
                  <c:v>Chicago Outlet</c:v>
                </c:pt>
                <c:pt idx="3">
                  <c:v>Online Store</c:v>
                </c:pt>
                <c:pt idx="4">
                  <c:v>New York Flagship</c:v>
                </c:pt>
              </c:strCache>
            </c:strRef>
          </c:cat>
          <c:val>
            <c:numRef>
              <c:f>Pivots!$M$3:$M$8</c:f>
              <c:numCache>
                <c:formatCode>0%;\-0%;0%</c:formatCode>
                <c:ptCount val="5"/>
                <c:pt idx="0">
                  <c:v>4.664749353005746</c:v>
                </c:pt>
                <c:pt idx="1">
                  <c:v>4.4985383638366372</c:v>
                </c:pt>
                <c:pt idx="2">
                  <c:v>4.4818900115833911</c:v>
                </c:pt>
                <c:pt idx="3">
                  <c:v>4.1904615829189202</c:v>
                </c:pt>
                <c:pt idx="4">
                  <c:v>4.0946439094429286</c:v>
                </c:pt>
              </c:numCache>
            </c:numRef>
          </c:val>
          <c:extLst>
            <c:ext xmlns:c16="http://schemas.microsoft.com/office/drawing/2014/chart" uri="{C3380CC4-5D6E-409C-BE32-E72D297353CC}">
              <c16:uniqueId val="{00000000-49FA-4A42-AC68-178D6909B86E}"/>
            </c:ext>
          </c:extLst>
        </c:ser>
        <c:dLbls>
          <c:showLegendKey val="0"/>
          <c:showVal val="0"/>
          <c:showCatName val="0"/>
          <c:showSerName val="0"/>
          <c:showPercent val="0"/>
          <c:showBubbleSize val="0"/>
        </c:dLbls>
        <c:gapWidth val="38"/>
        <c:axId val="291690336"/>
        <c:axId val="291717696"/>
      </c:barChart>
      <c:catAx>
        <c:axId val="29169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accent5">
                    <a:lumMod val="50000"/>
                  </a:schemeClr>
                </a:solidFill>
                <a:latin typeface="Bahnschrift" panose="020B0502040204020203" pitchFamily="34" charset="0"/>
                <a:ea typeface="+mn-ea"/>
                <a:cs typeface="+mn-cs"/>
              </a:defRPr>
            </a:pPr>
            <a:endParaRPr lang="en-US"/>
          </a:p>
        </c:txPr>
        <c:crossAx val="291717696"/>
        <c:crosses val="autoZero"/>
        <c:auto val="1"/>
        <c:lblAlgn val="ctr"/>
        <c:lblOffset val="100"/>
        <c:noMultiLvlLbl val="0"/>
      </c:catAx>
      <c:valAx>
        <c:axId val="291717696"/>
        <c:scaling>
          <c:orientation val="minMax"/>
        </c:scaling>
        <c:delete val="1"/>
        <c:axPos val="b"/>
        <c:numFmt formatCode="0%;\-0%;0%" sourceLinked="1"/>
        <c:majorTickMark val="none"/>
        <c:minorTickMark val="none"/>
        <c:tickLblPos val="nextTo"/>
        <c:crossAx val="29169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accent5">
                    <a:lumMod val="50000"/>
                  </a:schemeClr>
                </a:solidFill>
                <a:latin typeface="Bahnschrift" panose="020B0502040204020203" pitchFamily="34" charset="0"/>
              </a:rPr>
              <a:t>Customer Distribution by City</a:t>
            </a:r>
            <a:endParaRPr lang="en-US" sz="2000" b="1">
              <a:solidFill>
                <a:schemeClr val="accent5">
                  <a:lumMod val="50000"/>
                </a:scheme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s>
    <c:plotArea>
      <c:layout/>
      <c:barChart>
        <c:barDir val="bar"/>
        <c:grouping val="clustered"/>
        <c:varyColors val="0"/>
        <c:ser>
          <c:idx val="0"/>
          <c:order val="0"/>
          <c:tx>
            <c:strRef>
              <c:f>Pivots!$Q$2</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9276-4162-9F07-F75D93D0A66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Pivots!$P$3:$P$8</c:f>
              <c:strCache>
                <c:ptCount val="5"/>
                <c:pt idx="0">
                  <c:v>Los Angeles</c:v>
                </c:pt>
                <c:pt idx="1">
                  <c:v>Chicago</c:v>
                </c:pt>
                <c:pt idx="2">
                  <c:v>Cloud</c:v>
                </c:pt>
                <c:pt idx="3">
                  <c:v>Houston</c:v>
                </c:pt>
                <c:pt idx="4">
                  <c:v>New York</c:v>
                </c:pt>
              </c:strCache>
            </c:strRef>
          </c:cat>
          <c:val>
            <c:numRef>
              <c:f>Pivots!$Q$3:$Q$8</c:f>
              <c:numCache>
                <c:formatCode>General</c:formatCode>
                <c:ptCount val="5"/>
                <c:pt idx="0">
                  <c:v>26484</c:v>
                </c:pt>
                <c:pt idx="1">
                  <c:v>26276</c:v>
                </c:pt>
                <c:pt idx="2">
                  <c:v>25615</c:v>
                </c:pt>
                <c:pt idx="3">
                  <c:v>25054</c:v>
                </c:pt>
                <c:pt idx="4">
                  <c:v>24890</c:v>
                </c:pt>
              </c:numCache>
            </c:numRef>
          </c:val>
          <c:extLst>
            <c:ext xmlns:c16="http://schemas.microsoft.com/office/drawing/2014/chart" uri="{C3380CC4-5D6E-409C-BE32-E72D297353CC}">
              <c16:uniqueId val="{00000000-9276-4162-9F07-F75D93D0A66F}"/>
            </c:ext>
          </c:extLst>
        </c:ser>
        <c:dLbls>
          <c:showLegendKey val="0"/>
          <c:showVal val="0"/>
          <c:showCatName val="0"/>
          <c:showSerName val="0"/>
          <c:showPercent val="0"/>
          <c:showBubbleSize val="0"/>
        </c:dLbls>
        <c:gapWidth val="78"/>
        <c:axId val="291698016"/>
        <c:axId val="291711456"/>
      </c:barChart>
      <c:catAx>
        <c:axId val="29169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5">
                    <a:lumMod val="50000"/>
                  </a:schemeClr>
                </a:solidFill>
                <a:latin typeface="Bahnschrift" panose="020B0502040204020203" pitchFamily="34" charset="0"/>
                <a:ea typeface="+mn-ea"/>
                <a:cs typeface="+mn-cs"/>
              </a:defRPr>
            </a:pPr>
            <a:endParaRPr lang="en-US"/>
          </a:p>
        </c:txPr>
        <c:crossAx val="291711456"/>
        <c:crosses val="autoZero"/>
        <c:auto val="1"/>
        <c:lblAlgn val="ctr"/>
        <c:lblOffset val="100"/>
        <c:noMultiLvlLbl val="0"/>
      </c:catAx>
      <c:valAx>
        <c:axId val="2917114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9169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[TechGear_Sales_Data-Task.xlsx]Pivots!PivotTable5</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accent5">
                    <a:lumMod val="50000"/>
                  </a:schemeClr>
                </a:solidFill>
                <a:latin typeface="Bahnschrift" panose="020B0502040204020203" pitchFamily="34" charset="0"/>
              </a:rPr>
              <a:t>Monthly Sales Trend </a:t>
            </a:r>
            <a:endParaRPr lang="en-US" sz="2000" b="1" baseline="0">
              <a:solidFill>
                <a:schemeClr val="accent5">
                  <a:lumMod val="50000"/>
                </a:scheme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4.033720857757457E-17"/>
              <c:y val="6.282915379290582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0"/>
              <c:y val="-3.866409464178820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1.3201420763929144E-2"/>
              <c:y val="-7.732818928357641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2.2002367939881907E-3"/>
              <c:y val="6.282915379290578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0"/>
              <c:y val="-5.316313013245877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6.600710381964572E-3"/>
              <c:y val="8.216120111379991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1.1001183969940953E-2"/>
              <c:y val="-8.216120111379991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1.6134883431029828E-16"/>
              <c:y val="6.282915379290578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1.3201420763929144E-2"/>
              <c:y val="-6.282915379290582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2.2002367939881907E-3"/>
              <c:y val="8.699421294402344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1.7601894351905688E-2"/>
              <c:y val="-9.666023660447052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
          <c:idx val="0"/>
          <c:layout>
            <c:manualLayout>
              <c:x val="-4.4004735879763814E-3"/>
              <c:y val="0.101493248434694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184056386184067E-2"/>
          <c:y val="0.23168818776730146"/>
          <c:w val="0.95181594361381594"/>
          <c:h val="0.53056495770785495"/>
        </c:manualLayout>
      </c:layout>
      <c:lineChart>
        <c:grouping val="standard"/>
        <c:varyColors val="0"/>
        <c:ser>
          <c:idx val="0"/>
          <c:order val="0"/>
          <c:tx>
            <c:strRef>
              <c:f>Pivots!$T$3</c:f>
              <c:strCache>
                <c:ptCount val="1"/>
                <c:pt idx="0">
                  <c:v>Total</c:v>
                </c:pt>
              </c:strCache>
            </c:strRef>
          </c:tx>
          <c:spPr>
            <a:ln w="28575" cap="rnd">
              <a:solidFill>
                <a:schemeClr val="accent5">
                  <a:lumMod val="75000"/>
                </a:schemeClr>
              </a:solidFill>
              <a:round/>
            </a:ln>
            <a:effectLst/>
          </c:spPr>
          <c:marker>
            <c:symbol val="square"/>
            <c:size val="8"/>
            <c:spPr>
              <a:solidFill>
                <a:schemeClr val="accent5">
                  <a:lumMod val="60000"/>
                  <a:lumOff val="40000"/>
                </a:schemeClr>
              </a:solidFill>
              <a:ln w="9525">
                <a:solidFill>
                  <a:schemeClr val="accent5">
                    <a:lumMod val="60000"/>
                    <a:lumOff val="40000"/>
                  </a:schemeClr>
                </a:solidFill>
              </a:ln>
              <a:effectLst/>
            </c:spPr>
          </c:marker>
          <c:dLbls>
            <c:dLbl>
              <c:idx val="0"/>
              <c:layout>
                <c:manualLayout>
                  <c:x val="-1.3201420763929144E-2"/>
                  <c:y val="-7.7328189283576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A5-4276-AA10-AB8C990864CA}"/>
                </c:ext>
              </c:extLst>
            </c:dLbl>
            <c:dLbl>
              <c:idx val="1"/>
              <c:layout>
                <c:manualLayout>
                  <c:x val="0"/>
                  <c:y val="-3.86640946417882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A5-4276-AA10-AB8C990864CA}"/>
                </c:ext>
              </c:extLst>
            </c:dLbl>
            <c:dLbl>
              <c:idx val="2"/>
              <c:layout>
                <c:manualLayout>
                  <c:x val="-4.033720857757457E-17"/>
                  <c:y val="6.2829153792905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A5-4276-AA10-AB8C990864CA}"/>
                </c:ext>
              </c:extLst>
            </c:dLbl>
            <c:dLbl>
              <c:idx val="3"/>
              <c:layout>
                <c:manualLayout>
                  <c:x val="-2.2002367939881907E-3"/>
                  <c:y val="6.2829153792905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A5-4276-AA10-AB8C990864CA}"/>
                </c:ext>
              </c:extLst>
            </c:dLbl>
            <c:dLbl>
              <c:idx val="4"/>
              <c:layout>
                <c:manualLayout>
                  <c:x val="0"/>
                  <c:y val="-5.3163130132458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A5-4276-AA10-AB8C990864CA}"/>
                </c:ext>
              </c:extLst>
            </c:dLbl>
            <c:dLbl>
              <c:idx val="5"/>
              <c:layout>
                <c:manualLayout>
                  <c:x val="-6.600710381964572E-3"/>
                  <c:y val="8.2161201113799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A5-4276-AA10-AB8C990864CA}"/>
                </c:ext>
              </c:extLst>
            </c:dLbl>
            <c:dLbl>
              <c:idx val="6"/>
              <c:layout>
                <c:manualLayout>
                  <c:x val="-1.1001183969940953E-2"/>
                  <c:y val="-8.2161201113799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A5-4276-AA10-AB8C990864CA}"/>
                </c:ext>
              </c:extLst>
            </c:dLbl>
            <c:dLbl>
              <c:idx val="7"/>
              <c:layout>
                <c:manualLayout>
                  <c:x val="-1.6134883431029828E-16"/>
                  <c:y val="6.2829153792905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A5-4276-AA10-AB8C990864CA}"/>
                </c:ext>
              </c:extLst>
            </c:dLbl>
            <c:dLbl>
              <c:idx val="8"/>
              <c:layout>
                <c:manualLayout>
                  <c:x val="-1.3201420763929144E-2"/>
                  <c:y val="-6.2829153792905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6A5-4276-AA10-AB8C990864CA}"/>
                </c:ext>
              </c:extLst>
            </c:dLbl>
            <c:dLbl>
              <c:idx val="9"/>
              <c:layout>
                <c:manualLayout>
                  <c:x val="-2.2002367939881907E-3"/>
                  <c:y val="8.6994212944023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6A5-4276-AA10-AB8C990864CA}"/>
                </c:ext>
              </c:extLst>
            </c:dLbl>
            <c:dLbl>
              <c:idx val="10"/>
              <c:layout>
                <c:manualLayout>
                  <c:x val="-1.7601894351905688E-2"/>
                  <c:y val="-9.66602366044705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6A5-4276-AA10-AB8C990864CA}"/>
                </c:ext>
              </c:extLst>
            </c:dLbl>
            <c:dLbl>
              <c:idx val="11"/>
              <c:layout>
                <c:manualLayout>
                  <c:x val="-4.4004735879763814E-3"/>
                  <c:y val="0.101493248434694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6A5-4276-AA10-AB8C990864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Pivots!$S$4:$S$16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Pivots!$T$4:$T$16</c:f>
              <c:numCache>
                <c:formatCode>0</c:formatCode>
                <c:ptCount val="12"/>
                <c:pt idx="0">
                  <c:v>471360.80000000045</c:v>
                </c:pt>
                <c:pt idx="1">
                  <c:v>452686.21000000054</c:v>
                </c:pt>
                <c:pt idx="2">
                  <c:v>398441.3700000004</c:v>
                </c:pt>
                <c:pt idx="3">
                  <c:v>482492.51000000036</c:v>
                </c:pt>
                <c:pt idx="4">
                  <c:v>510903.19000000058</c:v>
                </c:pt>
                <c:pt idx="5">
                  <c:v>441923.85000000044</c:v>
                </c:pt>
                <c:pt idx="6">
                  <c:v>426109.12000000046</c:v>
                </c:pt>
                <c:pt idx="7">
                  <c:v>465847.74000000011</c:v>
                </c:pt>
                <c:pt idx="8">
                  <c:v>529500.94000000088</c:v>
                </c:pt>
                <c:pt idx="9">
                  <c:v>455537.3600000008</c:v>
                </c:pt>
                <c:pt idx="10">
                  <c:v>440766.09000000043</c:v>
                </c:pt>
                <c:pt idx="11">
                  <c:v>457857.9600000006</c:v>
                </c:pt>
              </c:numCache>
            </c:numRef>
          </c:val>
          <c:smooth val="0"/>
          <c:extLst>
            <c:ext xmlns:c16="http://schemas.microsoft.com/office/drawing/2014/chart" uri="{C3380CC4-5D6E-409C-BE32-E72D297353CC}">
              <c16:uniqueId val="{00000000-46A5-4276-AA10-AB8C990864CA}"/>
            </c:ext>
          </c:extLst>
        </c:ser>
        <c:dLbls>
          <c:showLegendKey val="0"/>
          <c:showVal val="0"/>
          <c:showCatName val="0"/>
          <c:showSerName val="0"/>
          <c:showPercent val="0"/>
          <c:showBubbleSize val="0"/>
        </c:dLbls>
        <c:marker val="1"/>
        <c:smooth val="0"/>
        <c:axId val="291723456"/>
        <c:axId val="291721056"/>
      </c:lineChart>
      <c:catAx>
        <c:axId val="29172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10" b="1" i="0" u="none" strike="noStrike" kern="1200" baseline="0">
                <a:solidFill>
                  <a:schemeClr val="accent5">
                    <a:lumMod val="50000"/>
                  </a:schemeClr>
                </a:solidFill>
                <a:latin typeface="Bahnschrift" panose="020B0502040204020203" pitchFamily="34" charset="0"/>
                <a:ea typeface="+mn-ea"/>
                <a:cs typeface="+mn-cs"/>
              </a:defRPr>
            </a:pPr>
            <a:endParaRPr lang="en-US"/>
          </a:p>
        </c:txPr>
        <c:crossAx val="291721056"/>
        <c:crosses val="autoZero"/>
        <c:auto val="1"/>
        <c:lblAlgn val="ctr"/>
        <c:lblOffset val="100"/>
        <c:noMultiLvlLbl val="0"/>
      </c:catAx>
      <c:valAx>
        <c:axId val="291721056"/>
        <c:scaling>
          <c:orientation val="minMax"/>
        </c:scaling>
        <c:delete val="1"/>
        <c:axPos val="l"/>
        <c:numFmt formatCode="0" sourceLinked="1"/>
        <c:majorTickMark val="none"/>
        <c:minorTickMark val="none"/>
        <c:tickLblPos val="nextTo"/>
        <c:crossAx val="29172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[TechGear_Sales_Data-Task.xlsx]Pivots!PivotTable6</c:name>
    <c:fmtId val="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accent5">
                    <a:lumMod val="50000"/>
                  </a:schemeClr>
                </a:solidFill>
                <a:latin typeface="Bahnschrift" panose="020B0502040204020203" pitchFamily="34" charset="0"/>
              </a:rPr>
              <a:t>Quantity Sold by Category</a:t>
            </a:r>
            <a:endParaRPr lang="en-US" sz="2000" b="1" baseline="0">
              <a:solidFill>
                <a:schemeClr val="accent5">
                  <a:lumMod val="50000"/>
                </a:scheme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w="19050">
            <a:noFill/>
          </a:ln>
          <a:effectLst/>
        </c:spPr>
        <c:dLbl>
          <c:idx val="0"/>
          <c:layout>
            <c:manualLayout>
              <c:x val="9.034267081745001E-2"/>
              <c:y val="-6.389830764306583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w="19050">
            <a:noFill/>
          </a:ln>
          <a:effectLst/>
        </c:spPr>
        <c:dLbl>
          <c:idx val="0"/>
          <c:layout>
            <c:manualLayout>
              <c:x val="9.4859804358322503E-2"/>
              <c:y val="2.949152660449192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w="19050">
            <a:noFill/>
          </a:ln>
          <a:effectLst/>
        </c:spPr>
        <c:dLbl>
          <c:idx val="0"/>
          <c:layout>
            <c:manualLayout>
              <c:x val="-9.2601237587886298E-2"/>
              <c:y val="7.864407094531179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w="19050">
            <a:noFill/>
          </a:ln>
          <a:effectLst/>
        </c:spPr>
        <c:dLbl>
          <c:idx val="0"/>
          <c:layout>
            <c:manualLayout>
              <c:x val="-7.9049836965268711E-2"/>
              <c:y val="-7.372881651122985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Pivots!$W$2</c:f>
              <c:strCache>
                <c:ptCount val="1"/>
                <c:pt idx="0">
                  <c:v>Total</c:v>
                </c:pt>
              </c:strCache>
            </c:strRef>
          </c:tx>
          <c:spPr>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2621-4CEA-BF52-6F157115989A}"/>
              </c:ext>
            </c:extLst>
          </c:dPt>
          <c:dPt>
            <c:idx val="1"/>
            <c:bubble3D val="0"/>
            <c:spPr>
              <a:solidFill>
                <a:schemeClr val="accent5">
                  <a:lumMod val="40000"/>
                  <a:lumOff val="60000"/>
                </a:schemeClr>
              </a:solidFill>
              <a:ln w="19050">
                <a:noFill/>
              </a:ln>
              <a:effectLst/>
            </c:spPr>
            <c:extLst>
              <c:ext xmlns:c16="http://schemas.microsoft.com/office/drawing/2014/chart" uri="{C3380CC4-5D6E-409C-BE32-E72D297353CC}">
                <c16:uniqueId val="{00000003-2621-4CEA-BF52-6F157115989A}"/>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2621-4CEA-BF52-6F157115989A}"/>
              </c:ext>
            </c:extLst>
          </c:dPt>
          <c:dPt>
            <c:idx val="3"/>
            <c:bubble3D val="0"/>
            <c:spPr>
              <a:solidFill>
                <a:schemeClr val="accent5">
                  <a:lumMod val="75000"/>
                </a:schemeClr>
              </a:solidFill>
              <a:ln w="19050">
                <a:noFill/>
              </a:ln>
              <a:effectLst/>
            </c:spPr>
            <c:extLst>
              <c:ext xmlns:c16="http://schemas.microsoft.com/office/drawing/2014/chart" uri="{C3380CC4-5D6E-409C-BE32-E72D297353CC}">
                <c16:uniqueId val="{00000007-2621-4CEA-BF52-6F157115989A}"/>
              </c:ext>
            </c:extLst>
          </c:dPt>
          <c:dLbls>
            <c:dLbl>
              <c:idx val="0"/>
              <c:layout>
                <c:manualLayout>
                  <c:x val="9.034267081745001E-2"/>
                  <c:y val="-6.38983076430658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21-4CEA-BF52-6F157115989A}"/>
                </c:ext>
              </c:extLst>
            </c:dLbl>
            <c:dLbl>
              <c:idx val="1"/>
              <c:layout>
                <c:manualLayout>
                  <c:x val="9.4859804358322503E-2"/>
                  <c:y val="2.94915266044919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21-4CEA-BF52-6F157115989A}"/>
                </c:ext>
              </c:extLst>
            </c:dLbl>
            <c:dLbl>
              <c:idx val="2"/>
              <c:layout>
                <c:manualLayout>
                  <c:x val="-9.2601237587886298E-2"/>
                  <c:y val="7.8644070945311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21-4CEA-BF52-6F157115989A}"/>
                </c:ext>
              </c:extLst>
            </c:dLbl>
            <c:dLbl>
              <c:idx val="3"/>
              <c:layout>
                <c:manualLayout>
                  <c:x val="-7.9049836965268711E-2"/>
                  <c:y val="-7.3728816511229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21-4CEA-BF52-6F157115989A}"/>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Pivots!$V$3:$V$7</c:f>
              <c:strCache>
                <c:ptCount val="4"/>
                <c:pt idx="0">
                  <c:v>Accessories</c:v>
                </c:pt>
                <c:pt idx="1">
                  <c:v>Laptops</c:v>
                </c:pt>
                <c:pt idx="2">
                  <c:v>Monitors</c:v>
                </c:pt>
                <c:pt idx="3">
                  <c:v>Tablets</c:v>
                </c:pt>
              </c:strCache>
            </c:strRef>
          </c:cat>
          <c:val>
            <c:numRef>
              <c:f>Pivots!$W$3:$W$7</c:f>
              <c:numCache>
                <c:formatCode>General</c:formatCode>
                <c:ptCount val="4"/>
                <c:pt idx="0">
                  <c:v>1653</c:v>
                </c:pt>
                <c:pt idx="1">
                  <c:v>1773</c:v>
                </c:pt>
                <c:pt idx="2">
                  <c:v>1387</c:v>
                </c:pt>
                <c:pt idx="3">
                  <c:v>1372</c:v>
                </c:pt>
              </c:numCache>
            </c:numRef>
          </c:val>
          <c:extLst>
            <c:ext xmlns:c16="http://schemas.microsoft.com/office/drawing/2014/chart" uri="{C3380CC4-5D6E-409C-BE32-E72D297353CC}">
              <c16:uniqueId val="{00000008-2621-4CEA-BF52-6F15711598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accent5">
                  <a:lumMod val="50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[TechGear_Sales_Data-Task.xlsx]Pivots!PivotTable7</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accent5">
                    <a:lumMod val="50000"/>
                  </a:schemeClr>
                </a:solidFill>
                <a:latin typeface="Bahnschrift" panose="020B0502040204020203" pitchFamily="34" charset="0"/>
              </a:rPr>
              <a:t>Margin Category Breakdown</a:t>
            </a:r>
            <a:endParaRPr lang="en-US" sz="2000" b="1" baseline="0">
              <a:solidFill>
                <a:schemeClr val="accent5">
                  <a:lumMod val="50000"/>
                </a:scheme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noFill/>
          </a:ln>
          <a:effectLst/>
        </c:spPr>
        <c:dLbl>
          <c:idx val="0"/>
          <c:layout>
            <c:manualLayout>
              <c:x val="0.11429678624330446"/>
              <c:y val="-5.8585843830284083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dLbl>
          <c:idx val="0"/>
          <c:layout>
            <c:manualLayout>
              <c:x val="-0.10757344587605128"/>
              <c:y val="6.346799748280761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Pivots!$Z$2</c:f>
              <c:strCache>
                <c:ptCount val="1"/>
                <c:pt idx="0">
                  <c:v>Total</c:v>
                </c:pt>
              </c:strCache>
            </c:strRef>
          </c:tx>
          <c:spPr>
            <a:ln>
              <a:noFill/>
            </a:ln>
          </c:spPr>
          <c:dPt>
            <c:idx val="0"/>
            <c:bubble3D val="0"/>
            <c:spPr>
              <a:solidFill>
                <a:schemeClr val="accent5">
                  <a:lumMod val="75000"/>
                </a:schemeClr>
              </a:solidFill>
              <a:ln w="19050">
                <a:noFill/>
              </a:ln>
              <a:effectLst/>
            </c:spPr>
            <c:extLst>
              <c:ext xmlns:c16="http://schemas.microsoft.com/office/drawing/2014/chart" uri="{C3380CC4-5D6E-409C-BE32-E72D297353CC}">
                <c16:uniqueId val="{00000001-47E3-4CE2-BF92-A480865B1E1F}"/>
              </c:ext>
            </c:extLst>
          </c:dPt>
          <c:dPt>
            <c:idx val="1"/>
            <c:bubble3D val="0"/>
            <c:spPr>
              <a:solidFill>
                <a:schemeClr val="accent5">
                  <a:lumMod val="60000"/>
                  <a:lumOff val="40000"/>
                </a:schemeClr>
              </a:solidFill>
              <a:ln w="19050">
                <a:noFill/>
              </a:ln>
              <a:effectLst/>
            </c:spPr>
            <c:extLst>
              <c:ext xmlns:c16="http://schemas.microsoft.com/office/drawing/2014/chart" uri="{C3380CC4-5D6E-409C-BE32-E72D297353CC}">
                <c16:uniqueId val="{00000003-47E3-4CE2-BF92-A480865B1E1F}"/>
              </c:ext>
            </c:extLst>
          </c:dPt>
          <c:dLbls>
            <c:dLbl>
              <c:idx val="0"/>
              <c:layout>
                <c:manualLayout>
                  <c:x val="0.11429678624330446"/>
                  <c:y val="-5.85858438302840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E3-4CE2-BF92-A480865B1E1F}"/>
                </c:ext>
              </c:extLst>
            </c:dLbl>
            <c:dLbl>
              <c:idx val="1"/>
              <c:layout>
                <c:manualLayout>
                  <c:x val="-0.10757344587605128"/>
                  <c:y val="6.34679974828076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E3-4CE2-BF92-A480865B1E1F}"/>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Pivots!$Y$3:$Y$5</c:f>
              <c:strCache>
                <c:ptCount val="2"/>
                <c:pt idx="0">
                  <c:v>High Margin</c:v>
                </c:pt>
                <c:pt idx="1">
                  <c:v>Standard Margin</c:v>
                </c:pt>
              </c:strCache>
            </c:strRef>
          </c:cat>
          <c:val>
            <c:numRef>
              <c:f>Pivots!$Z$3:$Z$5</c:f>
              <c:numCache>
                <c:formatCode>0%</c:formatCode>
                <c:ptCount val="2"/>
                <c:pt idx="0">
                  <c:v>0.27397260273972601</c:v>
                </c:pt>
                <c:pt idx="1">
                  <c:v>0.72602739726027388</c:v>
                </c:pt>
              </c:numCache>
            </c:numRef>
          </c:val>
          <c:extLst>
            <c:ext xmlns:c16="http://schemas.microsoft.com/office/drawing/2014/chart" uri="{C3380CC4-5D6E-409C-BE32-E72D297353CC}">
              <c16:uniqueId val="{00000004-47E3-4CE2-BF92-A480865B1E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accent5">
                  <a:lumMod val="50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121920</xdr:colOff>
      <xdr:row>4</xdr:row>
      <xdr:rowOff>125730</xdr:rowOff>
    </xdr:from>
    <xdr:to>
      <xdr:col>7</xdr:col>
      <xdr:colOff>403860</xdr:colOff>
      <xdr:row>19</xdr:row>
      <xdr:rowOff>125730</xdr:rowOff>
    </xdr:to>
    <xdr:graphicFrame macro="">
      <xdr:nvGraphicFramePr>
        <xdr:cNvPr id="2" name="Chart 1">
          <a:extLst>
            <a:ext uri="{FF2B5EF4-FFF2-40B4-BE49-F238E27FC236}">
              <a16:creationId xmlns:a16="http://schemas.microsoft.com/office/drawing/2014/main" id="{6AC16691-6837-B179-C906-263C2900F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22860</xdr:colOff>
      <xdr:row>9</xdr:row>
      <xdr:rowOff>110490</xdr:rowOff>
    </xdr:from>
    <xdr:to>
      <xdr:col>13</xdr:col>
      <xdr:colOff>571500</xdr:colOff>
      <xdr:row>24</xdr:row>
      <xdr:rowOff>110490</xdr:rowOff>
    </xdr:to>
    <xdr:graphicFrame macro="">
      <xdr:nvGraphicFramePr>
        <xdr:cNvPr id="3" name="Chart 2">
          <a:extLst>
            <a:ext uri="{FF2B5EF4-FFF2-40B4-BE49-F238E27FC236}">
              <a16:creationId xmlns:a16="http://schemas.microsoft.com/office/drawing/2014/main" id="{FC58A064-C9F8-1918-589A-444E1F5F3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175260</xdr:colOff>
      <xdr:row>9</xdr:row>
      <xdr:rowOff>156210</xdr:rowOff>
    </xdr:from>
    <xdr:to>
      <xdr:col>17</xdr:col>
      <xdr:colOff>129540</xdr:colOff>
      <xdr:row>24</xdr:row>
      <xdr:rowOff>156210</xdr:rowOff>
    </xdr:to>
    <xdr:graphicFrame macro="">
      <xdr:nvGraphicFramePr>
        <xdr:cNvPr id="4" name="Chart 3">
          <a:extLst>
            <a:ext uri="{FF2B5EF4-FFF2-40B4-BE49-F238E27FC236}">
              <a16:creationId xmlns:a16="http://schemas.microsoft.com/office/drawing/2014/main" id="{F12C328F-E8E9-C5A8-979D-946FFD3DE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266700</xdr:colOff>
      <xdr:row>17</xdr:row>
      <xdr:rowOff>64770</xdr:rowOff>
    </xdr:from>
    <xdr:to>
      <xdr:col>22</xdr:col>
      <xdr:colOff>769620</xdr:colOff>
      <xdr:row>32</xdr:row>
      <xdr:rowOff>64770</xdr:rowOff>
    </xdr:to>
    <xdr:graphicFrame macro="">
      <xdr:nvGraphicFramePr>
        <xdr:cNvPr id="5" name="Chart 4">
          <a:extLst>
            <a:ext uri="{FF2B5EF4-FFF2-40B4-BE49-F238E27FC236}">
              <a16:creationId xmlns:a16="http://schemas.microsoft.com/office/drawing/2014/main" id="{E5476EB7-7947-29D5-A0FE-650C88030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7620</xdr:colOff>
      <xdr:row>9</xdr:row>
      <xdr:rowOff>110490</xdr:rowOff>
    </xdr:from>
    <xdr:to>
      <xdr:col>23</xdr:col>
      <xdr:colOff>929640</xdr:colOff>
      <xdr:row>20</xdr:row>
      <xdr:rowOff>83820</xdr:rowOff>
    </xdr:to>
    <xdr:graphicFrame macro="">
      <xdr:nvGraphicFramePr>
        <xdr:cNvPr id="6" name="Chart 5">
          <a:extLst>
            <a:ext uri="{FF2B5EF4-FFF2-40B4-BE49-F238E27FC236}">
              <a16:creationId xmlns:a16="http://schemas.microsoft.com/office/drawing/2014/main" id="{DB365F63-13C5-FBDC-8C8C-4A32C797A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68580</xdr:colOff>
      <xdr:row>6</xdr:row>
      <xdr:rowOff>148590</xdr:rowOff>
    </xdr:from>
    <xdr:to>
      <xdr:col>27</xdr:col>
      <xdr:colOff>327660</xdr:colOff>
      <xdr:row>17</xdr:row>
      <xdr:rowOff>175260</xdr:rowOff>
    </xdr:to>
    <xdr:graphicFrame macro="">
      <xdr:nvGraphicFramePr>
        <xdr:cNvPr id="7" name="Chart 6">
          <a:extLst>
            <a:ext uri="{FF2B5EF4-FFF2-40B4-BE49-F238E27FC236}">
              <a16:creationId xmlns:a16="http://schemas.microsoft.com/office/drawing/2014/main" id="{F20D662C-643E-34E7-A747-08DEF5BDE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655320</xdr:colOff>
      <xdr:row>7</xdr:row>
      <xdr:rowOff>38100</xdr:rowOff>
    </xdr:from>
    <xdr:to>
      <xdr:col>8</xdr:col>
      <xdr:colOff>342900</xdr:colOff>
      <xdr:row>21</xdr:row>
      <xdr:rowOff>59055</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62265348-1C36-28AB-FE44-ABBB610D81B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526280" y="13182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502920</xdr:colOff>
      <xdr:row>5</xdr:row>
      <xdr:rowOff>83820</xdr:rowOff>
    </xdr:from>
    <xdr:to>
      <xdr:col>11</xdr:col>
      <xdr:colOff>335280</xdr:colOff>
      <xdr:row>19</xdr:row>
      <xdr:rowOff>104775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BDCBF23D-34D4-5C72-296A-F4A9B705A8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772400" y="9982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314307</xdr:colOff>
      <xdr:row>13</xdr:row>
      <xdr:rowOff>8711</xdr:rowOff>
    </xdr:from>
    <xdr:to>
      <xdr:col>5</xdr:col>
      <xdr:colOff>222344</xdr:colOff>
      <xdr:row>21</xdr:row>
      <xdr:rowOff>12913</xdr:rowOff>
    </xdr:to>
    <xdr:sp macro="" textlink="">
      <xdr:nvSpPr>
        <xdr:cNvPr id="53" name="Rectangle: Rounded Corners 52">
          <a:extLst>
            <a:ext uri="{FF2B5EF4-FFF2-40B4-BE49-F238E27FC236}">
              <a16:creationId xmlns:a16="http://schemas.microsoft.com/office/drawing/2014/main" id="{DD204BAE-8B92-43CD-78A7-960F373D2298}"/>
            </a:ext>
          </a:extLst>
        </xdr:cNvPr>
        <xdr:cNvSpPr/>
      </xdr:nvSpPr>
      <xdr:spPr>
        <a:xfrm>
          <a:off x="314307" y="2359287"/>
          <a:ext cx="2943122" cy="145071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314307</xdr:colOff>
      <xdr:row>25</xdr:row>
      <xdr:rowOff>30236</xdr:rowOff>
    </xdr:from>
    <xdr:to>
      <xdr:col>5</xdr:col>
      <xdr:colOff>222344</xdr:colOff>
      <xdr:row>33</xdr:row>
      <xdr:rowOff>34439</xdr:rowOff>
    </xdr:to>
    <xdr:sp macro="" textlink="">
      <xdr:nvSpPr>
        <xdr:cNvPr id="52" name="Rectangle: Rounded Corners 51">
          <a:extLst>
            <a:ext uri="{FF2B5EF4-FFF2-40B4-BE49-F238E27FC236}">
              <a16:creationId xmlns:a16="http://schemas.microsoft.com/office/drawing/2014/main" id="{03D469C3-A8B1-5D01-EB5F-A2CF1BF88B51}"/>
            </a:ext>
          </a:extLst>
        </xdr:cNvPr>
        <xdr:cNvSpPr/>
      </xdr:nvSpPr>
      <xdr:spPr>
        <a:xfrm>
          <a:off x="314307" y="4550575"/>
          <a:ext cx="2943122" cy="145071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314307</xdr:colOff>
      <xdr:row>37</xdr:row>
      <xdr:rowOff>51761</xdr:rowOff>
    </xdr:from>
    <xdr:to>
      <xdr:col>5</xdr:col>
      <xdr:colOff>222344</xdr:colOff>
      <xdr:row>45</xdr:row>
      <xdr:rowOff>55964</xdr:rowOff>
    </xdr:to>
    <xdr:sp macro="" textlink="">
      <xdr:nvSpPr>
        <xdr:cNvPr id="23" name="Rectangle: Rounded Corners 22">
          <a:extLst>
            <a:ext uri="{FF2B5EF4-FFF2-40B4-BE49-F238E27FC236}">
              <a16:creationId xmlns:a16="http://schemas.microsoft.com/office/drawing/2014/main" id="{C85CA732-00C6-B8E3-9655-A01C67FDEB28}"/>
            </a:ext>
          </a:extLst>
        </xdr:cNvPr>
        <xdr:cNvSpPr/>
      </xdr:nvSpPr>
      <xdr:spPr>
        <a:xfrm>
          <a:off x="314307" y="6741863"/>
          <a:ext cx="2943122" cy="145071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314307</xdr:colOff>
      <xdr:row>49</xdr:row>
      <xdr:rowOff>73287</xdr:rowOff>
    </xdr:from>
    <xdr:to>
      <xdr:col>5</xdr:col>
      <xdr:colOff>222344</xdr:colOff>
      <xdr:row>57</xdr:row>
      <xdr:rowOff>77489</xdr:rowOff>
    </xdr:to>
    <xdr:sp macro="" textlink="">
      <xdr:nvSpPr>
        <xdr:cNvPr id="51" name="Rectangle: Rounded Corners 50">
          <a:extLst>
            <a:ext uri="{FF2B5EF4-FFF2-40B4-BE49-F238E27FC236}">
              <a16:creationId xmlns:a16="http://schemas.microsoft.com/office/drawing/2014/main" id="{59F7F070-61CD-D0C0-0F36-24F045805866}"/>
            </a:ext>
          </a:extLst>
        </xdr:cNvPr>
        <xdr:cNvSpPr/>
      </xdr:nvSpPr>
      <xdr:spPr>
        <a:xfrm>
          <a:off x="314307" y="8933151"/>
          <a:ext cx="2943122" cy="145071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114628</xdr:colOff>
      <xdr:row>12</xdr:row>
      <xdr:rowOff>142092</xdr:rowOff>
    </xdr:from>
    <xdr:to>
      <xdr:col>34</xdr:col>
      <xdr:colOff>327988</xdr:colOff>
      <xdr:row>34</xdr:row>
      <xdr:rowOff>149688</xdr:rowOff>
    </xdr:to>
    <xdr:sp macro="" textlink="">
      <xdr:nvSpPr>
        <xdr:cNvPr id="49" name="Rectangle: Rounded Corners 48">
          <a:extLst>
            <a:ext uri="{FF2B5EF4-FFF2-40B4-BE49-F238E27FC236}">
              <a16:creationId xmlns:a16="http://schemas.microsoft.com/office/drawing/2014/main" id="{618D4F8D-994E-E7EA-BF5F-DD08D77CC083}"/>
            </a:ext>
          </a:extLst>
        </xdr:cNvPr>
        <xdr:cNvSpPr/>
      </xdr:nvSpPr>
      <xdr:spPr>
        <a:xfrm>
          <a:off x="15290052" y="2311855"/>
          <a:ext cx="5676512" cy="3985494"/>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88152</xdr:colOff>
      <xdr:row>36</xdr:row>
      <xdr:rowOff>121555</xdr:rowOff>
    </xdr:from>
    <xdr:to>
      <xdr:col>34</xdr:col>
      <xdr:colOff>296256</xdr:colOff>
      <xdr:row>58</xdr:row>
      <xdr:rowOff>129153</xdr:rowOff>
    </xdr:to>
    <xdr:sp macro="" textlink="">
      <xdr:nvSpPr>
        <xdr:cNvPr id="50" name="Rectangle: Rounded Corners 49">
          <a:extLst>
            <a:ext uri="{FF2B5EF4-FFF2-40B4-BE49-F238E27FC236}">
              <a16:creationId xmlns:a16="http://schemas.microsoft.com/office/drawing/2014/main" id="{DC161654-1496-1EAF-10DF-E69D482BF412}"/>
            </a:ext>
          </a:extLst>
        </xdr:cNvPr>
        <xdr:cNvSpPr/>
      </xdr:nvSpPr>
      <xdr:spPr>
        <a:xfrm>
          <a:off x="15263576" y="6630843"/>
          <a:ext cx="5671256" cy="3985496"/>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166290</xdr:colOff>
      <xdr:row>12</xdr:row>
      <xdr:rowOff>38770</xdr:rowOff>
    </xdr:from>
    <xdr:to>
      <xdr:col>24</xdr:col>
      <xdr:colOff>379649</xdr:colOff>
      <xdr:row>34</xdr:row>
      <xdr:rowOff>46366</xdr:rowOff>
    </xdr:to>
    <xdr:sp macro="" textlink="">
      <xdr:nvSpPr>
        <xdr:cNvPr id="46" name="Rectangle: Rounded Corners 45">
          <a:extLst>
            <a:ext uri="{FF2B5EF4-FFF2-40B4-BE49-F238E27FC236}">
              <a16:creationId xmlns:a16="http://schemas.microsoft.com/office/drawing/2014/main" id="{05F2E3E3-6C57-0A61-4694-76230E96489A}"/>
            </a:ext>
          </a:extLst>
        </xdr:cNvPr>
        <xdr:cNvSpPr/>
      </xdr:nvSpPr>
      <xdr:spPr>
        <a:xfrm>
          <a:off x="9271544" y="2208533"/>
          <a:ext cx="5676512" cy="3985494"/>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139814</xdr:colOff>
      <xdr:row>36</xdr:row>
      <xdr:rowOff>18233</xdr:rowOff>
    </xdr:from>
    <xdr:to>
      <xdr:col>24</xdr:col>
      <xdr:colOff>347917</xdr:colOff>
      <xdr:row>58</xdr:row>
      <xdr:rowOff>25831</xdr:rowOff>
    </xdr:to>
    <xdr:sp macro="" textlink="">
      <xdr:nvSpPr>
        <xdr:cNvPr id="47" name="Rectangle: Rounded Corners 46">
          <a:extLst>
            <a:ext uri="{FF2B5EF4-FFF2-40B4-BE49-F238E27FC236}">
              <a16:creationId xmlns:a16="http://schemas.microsoft.com/office/drawing/2014/main" id="{48FE03FA-5403-294E-2A19-92C151DD3268}"/>
            </a:ext>
          </a:extLst>
        </xdr:cNvPr>
        <xdr:cNvSpPr/>
      </xdr:nvSpPr>
      <xdr:spPr>
        <a:xfrm>
          <a:off x="9245068" y="6527521"/>
          <a:ext cx="5671256" cy="3985496"/>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437996</xdr:colOff>
      <xdr:row>12</xdr:row>
      <xdr:rowOff>143752</xdr:rowOff>
    </xdr:from>
    <xdr:to>
      <xdr:col>38</xdr:col>
      <xdr:colOff>454560</xdr:colOff>
      <xdr:row>58</xdr:row>
      <xdr:rowOff>51661</xdr:rowOff>
    </xdr:to>
    <xdr:sp macro="" textlink="">
      <xdr:nvSpPr>
        <xdr:cNvPr id="45" name="Rectangle: Rounded Corners 44">
          <a:extLst>
            <a:ext uri="{FF2B5EF4-FFF2-40B4-BE49-F238E27FC236}">
              <a16:creationId xmlns:a16="http://schemas.microsoft.com/office/drawing/2014/main" id="{C45A9A3E-7F6D-FCB8-F18D-26A536D7DAE3}"/>
            </a:ext>
          </a:extLst>
        </xdr:cNvPr>
        <xdr:cNvSpPr/>
      </xdr:nvSpPr>
      <xdr:spPr>
        <a:xfrm>
          <a:off x="21076572" y="2313515"/>
          <a:ext cx="2444632" cy="8225332"/>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288812</xdr:colOff>
      <xdr:row>2</xdr:row>
      <xdr:rowOff>90408</xdr:rowOff>
    </xdr:from>
    <xdr:to>
      <xdr:col>38</xdr:col>
      <xdr:colOff>460176</xdr:colOff>
      <xdr:row>10</xdr:row>
      <xdr:rowOff>116683</xdr:rowOff>
    </xdr:to>
    <xdr:sp macro="" textlink="">
      <xdr:nvSpPr>
        <xdr:cNvPr id="2" name="Rectangle: Rounded Corners 1">
          <a:extLst>
            <a:ext uri="{FF2B5EF4-FFF2-40B4-BE49-F238E27FC236}">
              <a16:creationId xmlns:a16="http://schemas.microsoft.com/office/drawing/2014/main" id="{4BAA5C16-AC78-4D93-274F-C50794A05CB8}"/>
            </a:ext>
          </a:extLst>
        </xdr:cNvPr>
        <xdr:cNvSpPr/>
      </xdr:nvSpPr>
      <xdr:spPr>
        <a:xfrm>
          <a:off x="288812" y="452035"/>
          <a:ext cx="23238008" cy="1472784"/>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385849</xdr:colOff>
      <xdr:row>12</xdr:row>
      <xdr:rowOff>38770</xdr:rowOff>
    </xdr:from>
    <xdr:to>
      <xdr:col>14</xdr:col>
      <xdr:colOff>599209</xdr:colOff>
      <xdr:row>34</xdr:row>
      <xdr:rowOff>46366</xdr:rowOff>
    </xdr:to>
    <xdr:sp macro="" textlink="">
      <xdr:nvSpPr>
        <xdr:cNvPr id="7" name="Rectangle: Rounded Corners 6">
          <a:extLst>
            <a:ext uri="{FF2B5EF4-FFF2-40B4-BE49-F238E27FC236}">
              <a16:creationId xmlns:a16="http://schemas.microsoft.com/office/drawing/2014/main" id="{473F5D5F-BA04-BBC6-AADA-9389CA8D083F}"/>
            </a:ext>
          </a:extLst>
        </xdr:cNvPr>
        <xdr:cNvSpPr/>
      </xdr:nvSpPr>
      <xdr:spPr>
        <a:xfrm>
          <a:off x="3420934" y="2208533"/>
          <a:ext cx="5676512" cy="3985494"/>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359373</xdr:colOff>
      <xdr:row>36</xdr:row>
      <xdr:rowOff>18233</xdr:rowOff>
    </xdr:from>
    <xdr:to>
      <xdr:col>14</xdr:col>
      <xdr:colOff>567477</xdr:colOff>
      <xdr:row>58</xdr:row>
      <xdr:rowOff>25831</xdr:rowOff>
    </xdr:to>
    <xdr:sp macro="" textlink="">
      <xdr:nvSpPr>
        <xdr:cNvPr id="9" name="Rectangle: Rounded Corners 8">
          <a:extLst>
            <a:ext uri="{FF2B5EF4-FFF2-40B4-BE49-F238E27FC236}">
              <a16:creationId xmlns:a16="http://schemas.microsoft.com/office/drawing/2014/main" id="{D11185B6-0EE3-57A1-A501-0DE42EF1DE72}"/>
            </a:ext>
          </a:extLst>
        </xdr:cNvPr>
        <xdr:cNvSpPr/>
      </xdr:nvSpPr>
      <xdr:spPr>
        <a:xfrm>
          <a:off x="3394458" y="6527521"/>
          <a:ext cx="5671256" cy="3985496"/>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556846</xdr:colOff>
      <xdr:row>14</xdr:row>
      <xdr:rowOff>36363</xdr:rowOff>
    </xdr:from>
    <xdr:to>
      <xdr:col>5</xdr:col>
      <xdr:colOff>90407</xdr:colOff>
      <xdr:row>16</xdr:row>
      <xdr:rowOff>12916</xdr:rowOff>
    </xdr:to>
    <xdr:sp macro="" textlink="">
      <xdr:nvSpPr>
        <xdr:cNvPr id="24" name="TextBox 23">
          <a:extLst>
            <a:ext uri="{FF2B5EF4-FFF2-40B4-BE49-F238E27FC236}">
              <a16:creationId xmlns:a16="http://schemas.microsoft.com/office/drawing/2014/main" id="{765D754B-05A4-4A58-F363-96D317DCE88D}"/>
            </a:ext>
          </a:extLst>
        </xdr:cNvPr>
        <xdr:cNvSpPr txBox="1"/>
      </xdr:nvSpPr>
      <xdr:spPr>
        <a:xfrm>
          <a:off x="556846" y="2567753"/>
          <a:ext cx="2568646" cy="33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5">
                  <a:lumMod val="20000"/>
                  <a:lumOff val="80000"/>
                </a:schemeClr>
              </a:solidFill>
              <a:latin typeface="Bahnschrift" panose="020B0502040204020203" pitchFamily="34" charset="0"/>
            </a:rPr>
            <a:t>Total Sales Revenue</a:t>
          </a:r>
        </a:p>
      </xdr:txBody>
    </xdr:sp>
    <xdr:clientData/>
  </xdr:twoCellAnchor>
  <xdr:twoCellAnchor>
    <xdr:from>
      <xdr:col>0</xdr:col>
      <xdr:colOff>536281</xdr:colOff>
      <xdr:row>17</xdr:row>
      <xdr:rowOff>65568</xdr:rowOff>
    </xdr:from>
    <xdr:to>
      <xdr:col>4</xdr:col>
      <xdr:colOff>430773</xdr:colOff>
      <xdr:row>19</xdr:row>
      <xdr:rowOff>42122</xdr:rowOff>
    </xdr:to>
    <xdr:sp macro="" textlink="Pivots!C3">
      <xdr:nvSpPr>
        <xdr:cNvPr id="27" name="TextBox 26">
          <a:extLst>
            <a:ext uri="{FF2B5EF4-FFF2-40B4-BE49-F238E27FC236}">
              <a16:creationId xmlns:a16="http://schemas.microsoft.com/office/drawing/2014/main" id="{3A35DCE4-C717-027B-F516-E100D031EB68}"/>
            </a:ext>
          </a:extLst>
        </xdr:cNvPr>
        <xdr:cNvSpPr txBox="1"/>
      </xdr:nvSpPr>
      <xdr:spPr>
        <a:xfrm>
          <a:off x="536281" y="3139399"/>
          <a:ext cx="2322560" cy="33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DF2EF1-69E8-4656-83B6-05D88BF140A4}" type="TxLink">
            <a:rPr lang="en-US" sz="2400" b="1" i="0" u="none" strike="noStrike">
              <a:solidFill>
                <a:schemeClr val="bg1"/>
              </a:solidFill>
              <a:latin typeface="Bahnschrift" panose="020B0502040204020203" pitchFamily="34" charset="0"/>
            </a:rPr>
            <a:t>5,397,329</a:t>
          </a:fld>
          <a:endParaRPr lang="en-US" sz="2400" b="1">
            <a:solidFill>
              <a:schemeClr val="bg1"/>
            </a:solidFill>
            <a:latin typeface="Bahnschrift" panose="020B0502040204020203" pitchFamily="34" charset="0"/>
          </a:endParaRPr>
        </a:p>
      </xdr:txBody>
    </xdr:sp>
    <xdr:clientData/>
  </xdr:twoCellAnchor>
  <xdr:twoCellAnchor>
    <xdr:from>
      <xdr:col>0</xdr:col>
      <xdr:colOff>556846</xdr:colOff>
      <xdr:row>26</xdr:row>
      <xdr:rowOff>15962</xdr:rowOff>
    </xdr:from>
    <xdr:to>
      <xdr:col>4</xdr:col>
      <xdr:colOff>451338</xdr:colOff>
      <xdr:row>27</xdr:row>
      <xdr:rowOff>173329</xdr:rowOff>
    </xdr:to>
    <xdr:sp macro="" textlink="">
      <xdr:nvSpPr>
        <xdr:cNvPr id="28" name="TextBox 27">
          <a:extLst>
            <a:ext uri="{FF2B5EF4-FFF2-40B4-BE49-F238E27FC236}">
              <a16:creationId xmlns:a16="http://schemas.microsoft.com/office/drawing/2014/main" id="{69A2DB3B-CFC2-CC15-ACAD-6706716C7079}"/>
            </a:ext>
          </a:extLst>
        </xdr:cNvPr>
        <xdr:cNvSpPr txBox="1"/>
      </xdr:nvSpPr>
      <xdr:spPr>
        <a:xfrm>
          <a:off x="556846" y="4717115"/>
          <a:ext cx="2322560" cy="33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5">
                  <a:lumMod val="20000"/>
                  <a:lumOff val="80000"/>
                </a:schemeClr>
              </a:solidFill>
              <a:latin typeface="Bahnschrift" panose="020B0502040204020203" pitchFamily="34" charset="0"/>
            </a:rPr>
            <a:t>Total COGS</a:t>
          </a:r>
        </a:p>
      </xdr:txBody>
    </xdr:sp>
    <xdr:clientData/>
  </xdr:twoCellAnchor>
  <xdr:twoCellAnchor>
    <xdr:from>
      <xdr:col>0</xdr:col>
      <xdr:colOff>556846</xdr:colOff>
      <xdr:row>37</xdr:row>
      <xdr:rowOff>176375</xdr:rowOff>
    </xdr:from>
    <xdr:to>
      <xdr:col>4</xdr:col>
      <xdr:colOff>451338</xdr:colOff>
      <xdr:row>39</xdr:row>
      <xdr:rowOff>152929</xdr:rowOff>
    </xdr:to>
    <xdr:sp macro="" textlink="">
      <xdr:nvSpPr>
        <xdr:cNvPr id="29" name="TextBox 28">
          <a:extLst>
            <a:ext uri="{FF2B5EF4-FFF2-40B4-BE49-F238E27FC236}">
              <a16:creationId xmlns:a16="http://schemas.microsoft.com/office/drawing/2014/main" id="{717082D0-368E-7EA4-CB0E-C7542CAC88EF}"/>
            </a:ext>
          </a:extLst>
        </xdr:cNvPr>
        <xdr:cNvSpPr txBox="1"/>
      </xdr:nvSpPr>
      <xdr:spPr>
        <a:xfrm>
          <a:off x="556846" y="6866477"/>
          <a:ext cx="2322560" cy="33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5">
                  <a:lumMod val="20000"/>
                  <a:lumOff val="80000"/>
                </a:schemeClr>
              </a:solidFill>
              <a:latin typeface="Bahnschrift" panose="020B0502040204020203" pitchFamily="34" charset="0"/>
            </a:rPr>
            <a:t>Gross Profit</a:t>
          </a:r>
        </a:p>
      </xdr:txBody>
    </xdr:sp>
    <xdr:clientData/>
  </xdr:twoCellAnchor>
  <xdr:twoCellAnchor>
    <xdr:from>
      <xdr:col>0</xdr:col>
      <xdr:colOff>556846</xdr:colOff>
      <xdr:row>49</xdr:row>
      <xdr:rowOff>155976</xdr:rowOff>
    </xdr:from>
    <xdr:to>
      <xdr:col>4</xdr:col>
      <xdr:colOff>451338</xdr:colOff>
      <xdr:row>51</xdr:row>
      <xdr:rowOff>132530</xdr:rowOff>
    </xdr:to>
    <xdr:sp macro="" textlink="">
      <xdr:nvSpPr>
        <xdr:cNvPr id="30" name="TextBox 29">
          <a:extLst>
            <a:ext uri="{FF2B5EF4-FFF2-40B4-BE49-F238E27FC236}">
              <a16:creationId xmlns:a16="http://schemas.microsoft.com/office/drawing/2014/main" id="{1179ACE1-0730-5010-83B0-AEE57A696F61}"/>
            </a:ext>
          </a:extLst>
        </xdr:cNvPr>
        <xdr:cNvSpPr txBox="1"/>
      </xdr:nvSpPr>
      <xdr:spPr>
        <a:xfrm>
          <a:off x="556846" y="9015840"/>
          <a:ext cx="2322560" cy="33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5">
                  <a:lumMod val="20000"/>
                  <a:lumOff val="80000"/>
                </a:schemeClr>
              </a:solidFill>
              <a:latin typeface="Bahnschrift" panose="020B0502040204020203" pitchFamily="34" charset="0"/>
            </a:rPr>
            <a:t>Profit Margin %</a:t>
          </a:r>
        </a:p>
      </xdr:txBody>
    </xdr:sp>
    <xdr:clientData/>
  </xdr:twoCellAnchor>
  <xdr:twoCellAnchor>
    <xdr:from>
      <xdr:col>0</xdr:col>
      <xdr:colOff>536281</xdr:colOff>
      <xdr:row>29</xdr:row>
      <xdr:rowOff>58682</xdr:rowOff>
    </xdr:from>
    <xdr:to>
      <xdr:col>4</xdr:col>
      <xdr:colOff>430773</xdr:colOff>
      <xdr:row>31</xdr:row>
      <xdr:rowOff>41991</xdr:rowOff>
    </xdr:to>
    <xdr:sp macro="" textlink="Pivots!D3">
      <xdr:nvSpPr>
        <xdr:cNvPr id="31" name="TextBox 30">
          <a:extLst>
            <a:ext uri="{FF2B5EF4-FFF2-40B4-BE49-F238E27FC236}">
              <a16:creationId xmlns:a16="http://schemas.microsoft.com/office/drawing/2014/main" id="{593FD047-1E09-8B26-AC35-9D1BD0C20014}"/>
            </a:ext>
          </a:extLst>
        </xdr:cNvPr>
        <xdr:cNvSpPr txBox="1"/>
      </xdr:nvSpPr>
      <xdr:spPr>
        <a:xfrm>
          <a:off x="536281" y="5302275"/>
          <a:ext cx="2322560" cy="344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21B2AE-CD54-4439-98C1-23BCE1FF2C30}" type="TxLink">
            <a:rPr lang="en-US" sz="2400" b="1" i="0" u="none" strike="noStrike">
              <a:solidFill>
                <a:schemeClr val="bg1"/>
              </a:solidFill>
              <a:latin typeface="Bahnschrift" panose="020B0502040204020203" pitchFamily="34" charset="0"/>
            </a:rPr>
            <a:t> 3,730,339 </a:t>
          </a:fld>
          <a:endParaRPr lang="en-US" sz="2400" b="1">
            <a:solidFill>
              <a:schemeClr val="bg1"/>
            </a:solidFill>
            <a:latin typeface="Bahnschrift" panose="020B0502040204020203" pitchFamily="34" charset="0"/>
          </a:endParaRPr>
        </a:p>
      </xdr:txBody>
    </xdr:sp>
    <xdr:clientData/>
  </xdr:twoCellAnchor>
  <xdr:twoCellAnchor>
    <xdr:from>
      <xdr:col>0</xdr:col>
      <xdr:colOff>536281</xdr:colOff>
      <xdr:row>41</xdr:row>
      <xdr:rowOff>58550</xdr:rowOff>
    </xdr:from>
    <xdr:to>
      <xdr:col>4</xdr:col>
      <xdr:colOff>430773</xdr:colOff>
      <xdr:row>43</xdr:row>
      <xdr:rowOff>35103</xdr:rowOff>
    </xdr:to>
    <xdr:sp macro="" textlink="Pivots!E3">
      <xdr:nvSpPr>
        <xdr:cNvPr id="32" name="TextBox 31">
          <a:extLst>
            <a:ext uri="{FF2B5EF4-FFF2-40B4-BE49-F238E27FC236}">
              <a16:creationId xmlns:a16="http://schemas.microsoft.com/office/drawing/2014/main" id="{4E38600D-1998-78CC-26A4-0A7D360C3403}"/>
            </a:ext>
          </a:extLst>
        </xdr:cNvPr>
        <xdr:cNvSpPr txBox="1"/>
      </xdr:nvSpPr>
      <xdr:spPr>
        <a:xfrm>
          <a:off x="536281" y="7471906"/>
          <a:ext cx="2322560" cy="33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0BEF46-0455-44C9-A9FF-BE3FD98F285C}" type="TxLink">
            <a:rPr lang="en-US" sz="2400" b="1" i="0" u="none" strike="noStrike">
              <a:solidFill>
                <a:schemeClr val="bg1"/>
              </a:solidFill>
              <a:latin typeface="Bahnschrift" panose="020B0502040204020203" pitchFamily="34" charset="0"/>
            </a:rPr>
            <a:t>1,666,989</a:t>
          </a:fld>
          <a:endParaRPr lang="en-US" sz="2400" b="1">
            <a:solidFill>
              <a:schemeClr val="bg1"/>
            </a:solidFill>
            <a:latin typeface="Bahnschrift" panose="020B0502040204020203" pitchFamily="34" charset="0"/>
          </a:endParaRPr>
        </a:p>
      </xdr:txBody>
    </xdr:sp>
    <xdr:clientData/>
  </xdr:twoCellAnchor>
  <xdr:twoCellAnchor>
    <xdr:from>
      <xdr:col>0</xdr:col>
      <xdr:colOff>536281</xdr:colOff>
      <xdr:row>53</xdr:row>
      <xdr:rowOff>51661</xdr:rowOff>
    </xdr:from>
    <xdr:to>
      <xdr:col>4</xdr:col>
      <xdr:colOff>430773</xdr:colOff>
      <xdr:row>55</xdr:row>
      <xdr:rowOff>34970</xdr:rowOff>
    </xdr:to>
    <xdr:sp macro="" textlink="Pivots!F3">
      <xdr:nvSpPr>
        <xdr:cNvPr id="33" name="TextBox 32">
          <a:extLst>
            <a:ext uri="{FF2B5EF4-FFF2-40B4-BE49-F238E27FC236}">
              <a16:creationId xmlns:a16="http://schemas.microsoft.com/office/drawing/2014/main" id="{CE1B3775-9E35-24B0-D668-C67DF02C9172}"/>
            </a:ext>
          </a:extLst>
        </xdr:cNvPr>
        <xdr:cNvSpPr txBox="1"/>
      </xdr:nvSpPr>
      <xdr:spPr>
        <a:xfrm>
          <a:off x="536281" y="9634780"/>
          <a:ext cx="2322560" cy="344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194E1F-B9F5-4316-93D4-F2C2D23ABF7C}" type="TxLink">
            <a:rPr lang="en-US" sz="2400" b="1" i="0" u="none" strike="noStrike">
              <a:solidFill>
                <a:schemeClr val="bg1"/>
              </a:solidFill>
              <a:latin typeface="Bahnschrift" panose="020B0502040204020203" pitchFamily="34" charset="0"/>
            </a:rPr>
            <a:t>30.9%</a:t>
          </a:fld>
          <a:endParaRPr lang="en-US" sz="2400" b="1">
            <a:solidFill>
              <a:schemeClr val="bg1"/>
            </a:solidFill>
            <a:latin typeface="Bahnschrift" panose="020B0502040204020203" pitchFamily="34" charset="0"/>
          </a:endParaRPr>
        </a:p>
      </xdr:txBody>
    </xdr:sp>
    <xdr:clientData/>
  </xdr:twoCellAnchor>
  <xdr:twoCellAnchor>
    <xdr:from>
      <xdr:col>5</xdr:col>
      <xdr:colOff>348711</xdr:colOff>
      <xdr:row>12</xdr:row>
      <xdr:rowOff>64577</xdr:rowOff>
    </xdr:from>
    <xdr:to>
      <xdr:col>14</xdr:col>
      <xdr:colOff>542441</xdr:colOff>
      <xdr:row>39</xdr:row>
      <xdr:rowOff>77491</xdr:rowOff>
    </xdr:to>
    <xdr:graphicFrame macro="">
      <xdr:nvGraphicFramePr>
        <xdr:cNvPr id="34" name="Chart 33">
          <a:extLst>
            <a:ext uri="{FF2B5EF4-FFF2-40B4-BE49-F238E27FC236}">
              <a16:creationId xmlns:a16="http://schemas.microsoft.com/office/drawing/2014/main" id="{39DCF955-0D9D-436B-94D8-A731D25C2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132510</xdr:colOff>
      <xdr:row>13</xdr:row>
      <xdr:rowOff>0</xdr:rowOff>
    </xdr:from>
    <xdr:to>
      <xdr:col>34</xdr:col>
      <xdr:colOff>288589</xdr:colOff>
      <xdr:row>34</xdr:row>
      <xdr:rowOff>142068</xdr:rowOff>
    </xdr:to>
    <xdr:graphicFrame macro="">
      <xdr:nvGraphicFramePr>
        <xdr:cNvPr id="35" name="Chart 34">
          <a:extLst>
            <a:ext uri="{FF2B5EF4-FFF2-40B4-BE49-F238E27FC236}">
              <a16:creationId xmlns:a16="http://schemas.microsoft.com/office/drawing/2014/main" id="{5F109C55-29B4-4174-A720-C54E7681D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103321</xdr:colOff>
      <xdr:row>36</xdr:row>
      <xdr:rowOff>154983</xdr:rowOff>
    </xdr:from>
    <xdr:to>
      <xdr:col>34</xdr:col>
      <xdr:colOff>258304</xdr:colOff>
      <xdr:row>58</xdr:row>
      <xdr:rowOff>167899</xdr:rowOff>
    </xdr:to>
    <xdr:graphicFrame macro="">
      <xdr:nvGraphicFramePr>
        <xdr:cNvPr id="36" name="Chart 35">
          <a:extLst>
            <a:ext uri="{FF2B5EF4-FFF2-40B4-BE49-F238E27FC236}">
              <a16:creationId xmlns:a16="http://schemas.microsoft.com/office/drawing/2014/main" id="{CCB27328-3E97-4984-8A01-E9A39F7E7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335796</xdr:colOff>
      <xdr:row>36</xdr:row>
      <xdr:rowOff>38747</xdr:rowOff>
    </xdr:from>
    <xdr:to>
      <xdr:col>14</xdr:col>
      <xdr:colOff>555355</xdr:colOff>
      <xdr:row>58</xdr:row>
      <xdr:rowOff>51661</xdr:rowOff>
    </xdr:to>
    <xdr:graphicFrame macro="">
      <xdr:nvGraphicFramePr>
        <xdr:cNvPr id="37" name="Chart 36">
          <a:extLst>
            <a:ext uri="{FF2B5EF4-FFF2-40B4-BE49-F238E27FC236}">
              <a16:creationId xmlns:a16="http://schemas.microsoft.com/office/drawing/2014/main" id="{E2A19488-D49E-438C-B78E-0F99D355B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154982</xdr:colOff>
      <xdr:row>12</xdr:row>
      <xdr:rowOff>38745</xdr:rowOff>
    </xdr:from>
    <xdr:to>
      <xdr:col>24</xdr:col>
      <xdr:colOff>361626</xdr:colOff>
      <xdr:row>34</xdr:row>
      <xdr:rowOff>38746</xdr:rowOff>
    </xdr:to>
    <xdr:graphicFrame macro="">
      <xdr:nvGraphicFramePr>
        <xdr:cNvPr id="38" name="Chart 37">
          <a:extLst>
            <a:ext uri="{FF2B5EF4-FFF2-40B4-BE49-F238E27FC236}">
              <a16:creationId xmlns:a16="http://schemas.microsoft.com/office/drawing/2014/main" id="{D9786F23-CCE7-4EBB-AF13-009C96EE8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154983</xdr:colOff>
      <xdr:row>36</xdr:row>
      <xdr:rowOff>64578</xdr:rowOff>
    </xdr:from>
    <xdr:to>
      <xdr:col>24</xdr:col>
      <xdr:colOff>374543</xdr:colOff>
      <xdr:row>58</xdr:row>
      <xdr:rowOff>64578</xdr:rowOff>
    </xdr:to>
    <xdr:graphicFrame macro="">
      <xdr:nvGraphicFramePr>
        <xdr:cNvPr id="39" name="Chart 38">
          <a:extLst>
            <a:ext uri="{FF2B5EF4-FFF2-40B4-BE49-F238E27FC236}">
              <a16:creationId xmlns:a16="http://schemas.microsoft.com/office/drawing/2014/main" id="{F8DCDF90-12F2-43E6-8E7B-23E5F5F9E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492115</xdr:colOff>
      <xdr:row>22</xdr:row>
      <xdr:rowOff>132315</xdr:rowOff>
    </xdr:from>
    <xdr:to>
      <xdr:col>19</xdr:col>
      <xdr:colOff>561038</xdr:colOff>
      <xdr:row>25</xdr:row>
      <xdr:rowOff>38746</xdr:rowOff>
    </xdr:to>
    <xdr:sp macro="" textlink="Pivots!$W$7">
      <xdr:nvSpPr>
        <xdr:cNvPr id="40" name="TextBox 39">
          <a:extLst>
            <a:ext uri="{FF2B5EF4-FFF2-40B4-BE49-F238E27FC236}">
              <a16:creationId xmlns:a16="http://schemas.microsoft.com/office/drawing/2014/main" id="{32DFEF3B-B193-5086-EC2E-49B776F22C1B}"/>
            </a:ext>
          </a:extLst>
        </xdr:cNvPr>
        <xdr:cNvSpPr txBox="1"/>
      </xdr:nvSpPr>
      <xdr:spPr>
        <a:xfrm>
          <a:off x="10811403" y="4110213"/>
          <a:ext cx="1282957" cy="448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55390C-7C73-48C9-9051-2B2DB1FFE209}" type="TxLink">
            <a:rPr lang="en-US" sz="2400" b="1" i="0" u="none" strike="noStrike">
              <a:solidFill>
                <a:schemeClr val="accent5">
                  <a:lumMod val="50000"/>
                </a:schemeClr>
              </a:solidFill>
              <a:latin typeface="Bahnschrift" panose="020B0502040204020203" pitchFamily="34" charset="0"/>
            </a:rPr>
            <a:t>6185</a:t>
          </a:fld>
          <a:endParaRPr lang="en-US" sz="2400" b="1">
            <a:solidFill>
              <a:schemeClr val="accent5">
                <a:lumMod val="50000"/>
              </a:schemeClr>
            </a:solidFill>
            <a:latin typeface="Bahnschrift" panose="020B0502040204020203" pitchFamily="34" charset="0"/>
          </a:endParaRPr>
        </a:p>
      </xdr:txBody>
    </xdr:sp>
    <xdr:clientData/>
  </xdr:twoCellAnchor>
  <xdr:twoCellAnchor>
    <xdr:from>
      <xdr:col>17</xdr:col>
      <xdr:colOff>129597</xdr:colOff>
      <xdr:row>46</xdr:row>
      <xdr:rowOff>175217</xdr:rowOff>
    </xdr:from>
    <xdr:to>
      <xdr:col>19</xdr:col>
      <xdr:colOff>464949</xdr:colOff>
      <xdr:row>50</xdr:row>
      <xdr:rowOff>38746</xdr:rowOff>
    </xdr:to>
    <xdr:sp macro="" textlink="Pivots!$Z$5">
      <xdr:nvSpPr>
        <xdr:cNvPr id="41" name="TextBox 40">
          <a:extLst>
            <a:ext uri="{FF2B5EF4-FFF2-40B4-BE49-F238E27FC236}">
              <a16:creationId xmlns:a16="http://schemas.microsoft.com/office/drawing/2014/main" id="{2124B6E7-8E31-2B25-9E1D-B57C175E68C6}"/>
            </a:ext>
          </a:extLst>
        </xdr:cNvPr>
        <xdr:cNvSpPr txBox="1"/>
      </xdr:nvSpPr>
      <xdr:spPr>
        <a:xfrm>
          <a:off x="10448885" y="8492641"/>
          <a:ext cx="1549386" cy="586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6E5AAB-5EF4-4C41-BD5B-C95B18FE96B1}" type="TxLink">
            <a:rPr lang="en-US" sz="2400" b="1" i="0" u="none" strike="noStrike">
              <a:solidFill>
                <a:schemeClr val="accent5">
                  <a:lumMod val="50000"/>
                </a:schemeClr>
              </a:solidFill>
              <a:latin typeface="Bahnschrift" panose="020B0502040204020203" pitchFamily="34" charset="0"/>
            </a:rPr>
            <a:t>100%</a:t>
          </a:fld>
          <a:endParaRPr lang="en-US" sz="2400" b="1">
            <a:solidFill>
              <a:schemeClr val="accent5">
                <a:lumMod val="50000"/>
              </a:schemeClr>
            </a:solidFill>
            <a:latin typeface="Bahnschrift" panose="020B0502040204020203" pitchFamily="34" charset="0"/>
          </a:endParaRPr>
        </a:p>
      </xdr:txBody>
    </xdr:sp>
    <xdr:clientData/>
  </xdr:twoCellAnchor>
  <xdr:twoCellAnchor>
    <xdr:from>
      <xdr:col>14</xdr:col>
      <xdr:colOff>290829</xdr:colOff>
      <xdr:row>4</xdr:row>
      <xdr:rowOff>77192</xdr:rowOff>
    </xdr:from>
    <xdr:to>
      <xdr:col>24</xdr:col>
      <xdr:colOff>515644</xdr:colOff>
      <xdr:row>7</xdr:row>
      <xdr:rowOff>165418</xdr:rowOff>
    </xdr:to>
    <xdr:sp macro="" textlink="">
      <xdr:nvSpPr>
        <xdr:cNvPr id="42" name="TextBox 41">
          <a:extLst>
            <a:ext uri="{FF2B5EF4-FFF2-40B4-BE49-F238E27FC236}">
              <a16:creationId xmlns:a16="http://schemas.microsoft.com/office/drawing/2014/main" id="{11949983-499F-8F09-8BDA-7C1920A05087}"/>
            </a:ext>
          </a:extLst>
        </xdr:cNvPr>
        <xdr:cNvSpPr txBox="1"/>
      </xdr:nvSpPr>
      <xdr:spPr>
        <a:xfrm>
          <a:off x="8789066" y="800446"/>
          <a:ext cx="6294985" cy="630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accent5">
                  <a:lumMod val="20000"/>
                  <a:lumOff val="80000"/>
                </a:schemeClr>
              </a:solidFill>
              <a:latin typeface="Bahnschrift" panose="020B0502040204020203" pitchFamily="34" charset="0"/>
            </a:rPr>
            <a:t>SalesVision Analytics</a:t>
          </a:r>
        </a:p>
      </xdr:txBody>
    </xdr:sp>
    <xdr:clientData/>
  </xdr:twoCellAnchor>
  <xdr:twoCellAnchor editAs="oneCell">
    <xdr:from>
      <xdr:col>34</xdr:col>
      <xdr:colOff>498641</xdr:colOff>
      <xdr:row>36</xdr:row>
      <xdr:rowOff>171752</xdr:rowOff>
    </xdr:from>
    <xdr:to>
      <xdr:col>38</xdr:col>
      <xdr:colOff>326899</xdr:colOff>
      <xdr:row>46</xdr:row>
      <xdr:rowOff>51661</xdr:rowOff>
    </xdr:to>
    <mc:AlternateContent xmlns:mc="http://schemas.openxmlformats.org/markup-compatibility/2006">
      <mc:Choice xmlns:a14="http://schemas.microsoft.com/office/drawing/2010/main" Requires="a14">
        <xdr:graphicFrame macro="">
          <xdr:nvGraphicFramePr>
            <xdr:cNvPr id="43" name="Category 1">
              <a:extLst>
                <a:ext uri="{FF2B5EF4-FFF2-40B4-BE49-F238E27FC236}">
                  <a16:creationId xmlns:a16="http://schemas.microsoft.com/office/drawing/2014/main" id="{8FCDF2CF-68BD-4641-8C32-032089F0B70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137217" y="6681040"/>
              <a:ext cx="2256326" cy="1688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482077</xdr:colOff>
      <xdr:row>19</xdr:row>
      <xdr:rowOff>11410</xdr:rowOff>
    </xdr:from>
    <xdr:to>
      <xdr:col>38</xdr:col>
      <xdr:colOff>349554</xdr:colOff>
      <xdr:row>25</xdr:row>
      <xdr:rowOff>154983</xdr:rowOff>
    </xdr:to>
    <mc:AlternateContent xmlns:mc="http://schemas.openxmlformats.org/markup-compatibility/2006">
      <mc:Choice xmlns:a14="http://schemas.microsoft.com/office/drawing/2010/main" Requires="a14">
        <xdr:graphicFrame macro="">
          <xdr:nvGraphicFramePr>
            <xdr:cNvPr id="44" name="Year 1">
              <a:extLst>
                <a:ext uri="{FF2B5EF4-FFF2-40B4-BE49-F238E27FC236}">
                  <a16:creationId xmlns:a16="http://schemas.microsoft.com/office/drawing/2014/main" id="{825AAED0-D0CB-4FBF-8679-FF2DECE91D9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1120653" y="3446868"/>
              <a:ext cx="2295545" cy="1228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Salma Elkady" refreshedDate="46155.936369444447" backgroundQuery="1" createdVersion="8" refreshedVersion="8" minRefreshableVersion="3" recordCount="0" supportSubquery="1" supportAdvancedDrill="1" xr:uid="{87D9DD8A-D656-4ADD-881C-958753D0F802}">
  <cacheSource type="external" connectionId="7"/>
  <cacheFields count="3">
    <cacheField name="[Products].[ProductName].[ProductName]" caption="ProductName" numFmtId="0" hierarchy="12" level="1">
      <sharedItems count="10">
        <s v="4K Monitor"/>
        <s v="Dell XPS"/>
        <s v="Gaming Monitor"/>
        <s v="iPad Pro"/>
        <s v="Laptop Stand"/>
        <s v="MacBook Pro"/>
        <s v="Mechanical Keyboard"/>
        <s v="Surface Pro"/>
        <s v="Ultrawide Monitor"/>
        <s v="USB-C Hub"/>
      </sharedItems>
    </cacheField>
    <cacheField name="[Measures].[Total Sales Revenue]" caption="Total Sales Revenue" numFmtId="0" hierarchy="38" level="32767"/>
    <cacheField name="[Products].[Category].[Category]" caption="Category" numFmtId="0" hierarchy="13" level="1">
      <sharedItems containsSemiMixedTypes="0" containsNonDate="0" containsString="0"/>
    </cacheField>
  </cacheFields>
  <cacheHierarchies count="6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 caption="Cost" attribute="1" defaultMemberUniqueName="[Products].[Cost].[All]" allUniqueName="[Products].[Cost].[All]" dimensionUniqueName="[Products]" displayFolder="" count="2" memberValueDatatype="5" unbalanced="0"/>
    <cacheHierarchy uniqueName="[Products].[ListPrice]" caption="ListPrice" attribute="1" defaultMemberUniqueName="[Products].[ListPrice].[All]" allUniqueName="[Products].[ListPrice].[All]" dimensionUniqueName="[Products]" displayFolder="" count="2" memberValueDatatype="5" unbalanced="0"/>
    <cacheHierarchy uniqueName="[Products].[Margin Status]" caption="Margin Status" attribute="1" defaultMemberUniqueName="[Products].[Margin Status].[All]" allUniqueName="[Products].[Margin Status].[All]" dimensionUniqueName="[Products]" displayFolder="" count="2" memberValueDatatype="130" unbalanced="0"/>
    <cacheHierarchy uniqueName="[Products].[Margin %]" caption="Margin %" attribute="1" defaultMemberUniqueName="[Products].[Margin %].[All]" allUniqueName="[Products].[Margin %].[All]" dimensionUniqueName="[Products]" displayFolder="" count="2" memberValueDatatype="5" unbalanced="0"/>
    <cacheHierarchy uniqueName="[Sales].[OrderID]" caption="OrderID" attribute="1" defaultMemberUniqueName="[Sales].[OrderID].[All]" allUniqueName="[Sales].[Order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20" unbalanced="0"/>
    <cacheHierarchy uniqueName="[Sales].[StoreID]" caption="StoreID" attribute="1" defaultMemberUniqueName="[Sales].[StoreID].[All]" allUniqueName="[Sales].[StoreID].[All]" dimensionUniqueName="[Sales]" displayFolder="" count="2" memberValueDatatype="20" unbalanced="0"/>
    <cacheHierarchy uniqueName="[Sales].[CustomerID]" caption="CustomerID" attribute="1" defaultMemberUniqueName="[Sales].[CustomerID].[All]" allUniqueName="[Sales].[Customer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Sales]" caption="Sales" attribute="1" defaultMemberUniqueName="[Sales].[Sales].[All]" allUniqueName="[Sales].[Sales].[All]" dimensionUniqueName="[Sales]" displayFolder="" count="2" memberValueDatatype="5" unbalanced="0"/>
    <cacheHierarchy uniqueName="[Sales].[Sales Category]" caption="Sales Category" attribute="1" defaultMemberUniqueName="[Sales].[Sales Category].[All]" allUniqueName="[Sales].[Sales Category].[All]" dimensionUniqueName="[Sales]" displayFolder="" count="2" memberValueDatatype="130" unbalanced="0"/>
    <cacheHierarchy uniqueName="[Sales].[Cost]" caption="Cost" attribute="1" defaultMemberUniqueName="[Sales].[Cost].[All]" allUniqueName="[Sales].[Cost].[All]" dimensionUniqueName="[Sales]" displayFolder="" count="2" memberValueDatatype="5" unbalanced="0"/>
    <cacheHierarchy uniqueName="[Sales].[COGS]" caption="COGS" attribute="1" defaultMemberUniqueName="[Sales].[COGS].[All]" allUniqueName="[Sales].[COGS].[All]" dimensionUniqueName="[Sales]" displayFolder="" count="2" memberValueDatatype="5" unbalanced="0"/>
    <cacheHierarchy uniqueName="[Stores].[StoreID]" caption="StoreID" attribute="1" defaultMemberUniqueName="[Stores].[StoreID].[All]" allUniqueName="[Stores].[StoreID].[All]" dimensionUniqueName="[Stores]" displayFolder="" count="2" memberValueDatatype="20" unbalanced="0"/>
    <cacheHierarchy uniqueName="[Stores].[StoreName]" caption="StoreName" attribute="1" defaultMemberUniqueName="[Stores].[StoreName].[All]" allUniqueName="[Stores].[StoreName].[All]" dimensionUniqueName="[Stores]" displayFolder="" count="2"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Targets].[StoreID]" caption="StoreID" attribute="1" defaultMemberUniqueName="[Targets].[StoreID].[All]" allUniqueName="[Targets].[StoreID].[All]" dimensionUniqueName="[Targets]" displayFolder="" count="2" memberValueDatatype="20" unbalanced="0"/>
    <cacheHierarchy uniqueName="[Targets].[Year]" caption="Year" attribute="1" defaultMemberUniqueName="[Targets].[Year].[All]" allUniqueName="[Targets].[Year].[All]" dimensionUniqueName="[Targets]" displayFolder="" count="2" memberValueDatatype="20" unbalanced="0"/>
    <cacheHierarchy uniqueName="[Targets].[Month]" caption="Month" attribute="1" defaultMemberUniqueName="[Targets].[Month].[All]" allUniqueName="[Targets].[Month].[All]" dimensionUniqueName="[Targets]" displayFolder="" count="2" memberValueDatatype="20" unbalanced="0"/>
    <cacheHierarchy uniqueName="[Targets].[TargetRevenue]" caption="TargetRevenue" attribute="1" defaultMemberUniqueName="[Targets].[TargetRevenue].[All]" allUniqueName="[Targets].[TargetRevenue].[All]" dimensionUniqueName="[Targets]" displayFolder="" count="2" memberValueDatatype="20" unbalanced="0"/>
    <cacheHierarchy uniqueName="[Measures].[Total Sales Revenue]" caption="Total Sales Revenue" measure="1" displayFolder="" measureGroup="Sales" count="0" oneField="1">
      <fieldsUsage count="1">
        <fieldUsage x="1"/>
      </fieldsUsage>
    </cacheHierarchy>
    <cacheHierarchy uniqueName="[Measures].[Total Sales]" caption="Total Sales" measure="1" displayFolder="" measureGroup="Sales" count="0"/>
    <cacheHierarchy uniqueName="[Measures].[Total Cost]" caption="Total Cost"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arget Revenue]" caption="Target Revenue" measure="1" displayFolder="" measureGroup="Sales" count="0"/>
    <cacheHierarchy uniqueName="[Measures].[Target ACH %]" caption="Target ACH %"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Targets]" caption="__XL_Count Targets" measure="1" displayFolder="" measureGroup="Targ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argin %]" caption="Sum of Margin %" measure="1" displayFolder="" measureGroup="Products" count="0" hidden="1">
      <extLst>
        <ext xmlns:x15="http://schemas.microsoft.com/office/spreadsheetml/2010/11/main" uri="{B97F6D7D-B522-45F9-BDA1-12C45D357490}">
          <x15:cacheHierarchy aggregatedColumn="17"/>
        </ext>
      </extLst>
    </cacheHierarchy>
    <cacheHierarchy uniqueName="[Measures].[Sum of StoreID]" caption="Sum of StoreID" measure="1" displayFolder="" measureGroup="Sales" count="0" hidden="1">
      <extLst>
        <ext xmlns:x15="http://schemas.microsoft.com/office/spreadsheetml/2010/11/main" uri="{B97F6D7D-B522-45F9-BDA1-12C45D357490}">
          <x15:cacheHierarchy aggregatedColumn="21"/>
        </ext>
      </extLst>
    </cacheHierarchy>
    <cacheHierarchy uniqueName="[Measures].[Sum of StoreID 2]" caption="Sum of StoreID 2" measure="1" displayFolder="" measureGroup="Stores" count="0" hidden="1">
      <extLst>
        <ext xmlns:x15="http://schemas.microsoft.com/office/spreadsheetml/2010/11/main" uri="{B97F6D7D-B522-45F9-BDA1-12C45D357490}">
          <x15:cacheHierarchy aggregatedColumn="30"/>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CustomerID 2]" caption="Sum of CustomerID 2" measure="1" displayFolder="" measureGroup="Sale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 name="Targets" uniqueName="[Targets]" caption="Targets"/>
  </dimensions>
  <measureGroups count="6">
    <measureGroup name="Calendar" caption="Calendar"/>
    <measureGroup name="Customers" caption="Customers"/>
    <measureGroup name="Products" caption="Products"/>
    <measureGroup name="Sales" caption="Sales"/>
    <measureGroup name="Stores" caption="Stores"/>
    <measureGroup name="Targets" caption="Targets"/>
  </measureGroups>
  <maps count="11">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Salma Elkady" refreshedDate="46155.936365624999" backgroundQuery="1" createdVersion="8" refreshedVersion="8" minRefreshableVersion="3" recordCount="0" supportSubquery="1" supportAdvancedDrill="1" xr:uid="{9F2A29C0-7F81-4D9F-B5C2-E6CAC3251755}">
  <cacheSource type="external" connectionId="7"/>
  <cacheFields count="5">
    <cacheField name="[Measures].[Total Sales Revenue]" caption="Total Sales Revenue" numFmtId="0" hierarchy="38" level="32767"/>
    <cacheField name="[Measures].[Total COGS]" caption="Total COGS" numFmtId="0" hierarchy="41" level="32767"/>
    <cacheField name="[Measures].[Gross Profit]" caption="Gross Profit" numFmtId="0" hierarchy="42" level="32767"/>
    <cacheField name="[Measures].[Profit Margin %]" caption="Profit Margin %" numFmtId="0" hierarchy="43" level="32767"/>
    <cacheField name="[Products].[Category].[Category]" caption="Category" numFmtId="0" hierarchy="13" level="1">
      <sharedItems containsSemiMixedTypes="0" containsNonDate="0" containsString="0"/>
    </cacheField>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Cost]" caption="Cost" attribute="1" defaultMemberUniqueName="[Products].[Cost].[All]" allUniqueName="[Products].[Cost].[All]" dimensionUniqueName="[Products]" displayFolder="" count="0" memberValueDatatype="5" unbalanced="0"/>
    <cacheHierarchy uniqueName="[Products].[ListPrice]" caption="ListPrice" attribute="1" defaultMemberUniqueName="[Products].[ListPrice].[All]" allUniqueName="[Products].[ListPrice].[All]" dimensionUniqueName="[Products]" displayFolder="" count="0" memberValueDatatype="5" unbalanced="0"/>
    <cacheHierarchy uniqueName="[Products].[Margin Status]" caption="Margin Status" attribute="1" defaultMemberUniqueName="[Products].[Margin Status].[All]" allUniqueName="[Products].[Margin Status].[All]" dimensionUniqueName="[Products]" displayFolder="" count="0" memberValueDatatype="130" unbalanced="0"/>
    <cacheHierarchy uniqueName="[Products].[Margin %]" caption="Margin %" attribute="1" defaultMemberUniqueName="[Products].[Margin %].[All]" allUniqueName="[Products].[Margin %].[All]" dimensionUniqueName="[Products]" displayFolder="" count="0" memberValueDatatype="5"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toreID]" caption="StoreID" attribute="1" defaultMemberUniqueName="[Sales].[StoreID].[All]" allUniqueName="[Sales].[Stor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Sales Category]" caption="Sales Category" attribute="1" defaultMemberUniqueName="[Sales].[Sales Category].[All]" allUniqueName="[Sales].[Sales Categor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GS]" caption="COGS" attribute="1" defaultMemberUniqueName="[Sales].[COGS].[All]" allUniqueName="[Sales].[COGS].[All]" dimensionUniqueName="[Sales]" displayFolder="" count="0" memberValueDatatype="5"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Targets].[StoreID]" caption="StoreID" attribute="1" defaultMemberUniqueName="[Targets].[StoreID].[All]" allUniqueName="[Targets].[StoreID].[All]" dimensionUniqueName="[Targets]" displayFolder="" count="0" memberValueDatatype="2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TargetRevenue]" caption="TargetRevenue" attribute="1" defaultMemberUniqueName="[Targets].[TargetRevenue].[All]" allUniqueName="[Targets].[TargetRevenue].[All]" dimensionUniqueName="[Targets]" displayFolder="" count="0" memberValueDatatype="20" unbalanced="0"/>
    <cacheHierarchy uniqueName="[Measures].[Total Sales Revenue]" caption="Total Sales Revenue" measure="1" displayFolder="" measureGroup="Sales" count="0" oneField="1">
      <fieldsUsage count="1">
        <fieldUsage x="0"/>
      </fieldsUsage>
    </cacheHierarchy>
    <cacheHierarchy uniqueName="[Measures].[Total Sales]" caption="Total Sales" measure="1" displayFolder="" measureGroup="Sales" count="0"/>
    <cacheHierarchy uniqueName="[Measures].[Total Cost]" caption="Total Cost" measure="1" displayFolder="" measureGroup="Sales" count="0"/>
    <cacheHierarchy uniqueName="[Measures].[Total COGS]" caption="Total COGS" measure="1" displayFolder="" measureGroup="Sales" count="0" oneField="1">
      <fieldsUsage count="1">
        <fieldUsage x="1"/>
      </fieldsUsage>
    </cacheHierarchy>
    <cacheHierarchy uniqueName="[Measures].[Gross Profit]" caption="Gross Profit" measure="1" displayFolder="" measureGroup="Sales" count="0" oneField="1">
      <fieldsUsage count="1">
        <fieldUsage x="2"/>
      </fieldsUsage>
    </cacheHierarchy>
    <cacheHierarchy uniqueName="[Measures].[Profit Margin %]" caption="Profit Margin %" measure="1" displayFolder="" measureGroup="Sales" count="0" oneField="1">
      <fieldsUsage count="1">
        <fieldUsage x="3"/>
      </fieldsUsage>
    </cacheHierarchy>
    <cacheHierarchy uniqueName="[Measures].[Total Orders]" caption="Total Orders" measure="1" displayFolder="" measureGroup="Sales" count="0"/>
    <cacheHierarchy uniqueName="[Measures].[Target Revenue]" caption="Target Revenue" measure="1" displayFolder="" measureGroup="Sales" count="0"/>
    <cacheHierarchy uniqueName="[Measures].[Target ACH %]" caption="Target ACH %"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Targets]" caption="__XL_Count Targets" measure="1" displayFolder="" measureGroup="Targ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argin %]" caption="Sum of Margin %" measure="1" displayFolder="" measureGroup="Products" count="0" hidden="1">
      <extLst>
        <ext xmlns:x15="http://schemas.microsoft.com/office/spreadsheetml/2010/11/main" uri="{B97F6D7D-B522-45F9-BDA1-12C45D357490}">
          <x15:cacheHierarchy aggregatedColumn="17"/>
        </ext>
      </extLst>
    </cacheHierarchy>
    <cacheHierarchy uniqueName="[Measures].[Sum of StoreID]" caption="Sum of StoreID" measure="1" displayFolder="" measureGroup="Sales" count="0" hidden="1">
      <extLst>
        <ext xmlns:x15="http://schemas.microsoft.com/office/spreadsheetml/2010/11/main" uri="{B97F6D7D-B522-45F9-BDA1-12C45D357490}">
          <x15:cacheHierarchy aggregatedColumn="21"/>
        </ext>
      </extLst>
    </cacheHierarchy>
    <cacheHierarchy uniqueName="[Measures].[Sum of StoreID 2]" caption="Sum of StoreID 2" measure="1" displayFolder="" measureGroup="Stores" count="0" hidden="1">
      <extLst>
        <ext xmlns:x15="http://schemas.microsoft.com/office/spreadsheetml/2010/11/main" uri="{B97F6D7D-B522-45F9-BDA1-12C45D357490}">
          <x15:cacheHierarchy aggregatedColumn="30"/>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CustomerID 2]" caption="Sum of CustomerID 2" measure="1" displayFolder="" measureGroup="Sale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 name="Targets" uniqueName="[Targets]" caption="Targets"/>
  </dimensions>
  <measureGroups count="6">
    <measureGroup name="Calendar" caption="Calendar"/>
    <measureGroup name="Customers" caption="Customers"/>
    <measureGroup name="Products" caption="Products"/>
    <measureGroup name="Sales" caption="Sales"/>
    <measureGroup name="Stores" caption="Stores"/>
    <measureGroup name="Targets" caption="Targets"/>
  </measureGroups>
  <maps count="11">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Salma Elkady" refreshedDate="46155.936366319445" backgroundQuery="1" createdVersion="8" refreshedVersion="8" minRefreshableVersion="3" recordCount="0" supportSubquery="1" supportAdvancedDrill="1" xr:uid="{D9A157F6-53EA-4EF0-929F-2F4E709327CB}">
  <cacheSource type="external" connectionId="7"/>
  <cacheFields count="3">
    <cacheField name="[Stores].[StoreName].[StoreName]" caption="StoreName" numFmtId="0" hierarchy="31" level="1">
      <sharedItems count="5">
        <s v="Chicago Outlet"/>
        <s v="Houston Store"/>
        <s v="Los Angeles Hub"/>
        <s v="New York Flagship"/>
        <s v="Online Store"/>
      </sharedItems>
    </cacheField>
    <cacheField name="[Measures].[Target ACH %]" caption="Target ACH %" numFmtId="0" hierarchy="46" level="32767"/>
    <cacheField name="[Products].[Category].[Category]" caption="Category" numFmtId="0" hierarchy="13" level="1">
      <sharedItems containsSemiMixedTypes="0" containsNonDate="0" containsString="0"/>
    </cacheField>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 caption="Cost" attribute="1" defaultMemberUniqueName="[Products].[Cost].[All]" allUniqueName="[Products].[Cost].[All]" dimensionUniqueName="[Products]" displayFolder="" count="0" memberValueDatatype="5" unbalanced="0"/>
    <cacheHierarchy uniqueName="[Products].[ListPrice]" caption="ListPrice" attribute="1" defaultMemberUniqueName="[Products].[ListPrice].[All]" allUniqueName="[Products].[ListPrice].[All]" dimensionUniqueName="[Products]" displayFolder="" count="0" memberValueDatatype="5" unbalanced="0"/>
    <cacheHierarchy uniqueName="[Products].[Margin Status]" caption="Margin Status" attribute="1" defaultMemberUniqueName="[Products].[Margin Status].[All]" allUniqueName="[Products].[Margin Status].[All]" dimensionUniqueName="[Products]" displayFolder="" count="0" memberValueDatatype="130" unbalanced="0"/>
    <cacheHierarchy uniqueName="[Products].[Margin %]" caption="Margin %" attribute="1" defaultMemberUniqueName="[Products].[Margin %].[All]" allUniqueName="[Products].[Margin %].[All]" dimensionUniqueName="[Products]" displayFolder="" count="0" memberValueDatatype="5"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toreID]" caption="StoreID" attribute="1" defaultMemberUniqueName="[Sales].[StoreID].[All]" allUniqueName="[Sales].[Stor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Sales Category]" caption="Sales Category" attribute="1" defaultMemberUniqueName="[Sales].[Sales Category].[All]" allUniqueName="[Sales].[Sales Categor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GS]" caption="COGS" attribute="1" defaultMemberUniqueName="[Sales].[COGS].[All]" allUniqueName="[Sales].[COGS].[All]" dimensionUniqueName="[Sales]" displayFolder="" count="0" memberValueDatatype="5"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2" memberValueDatatype="130" unbalanced="0">
      <fieldsUsage count="2">
        <fieldUsage x="-1"/>
        <fieldUsage x="0"/>
      </fieldsUsage>
    </cacheHierarchy>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Targets].[StoreID]" caption="StoreID" attribute="1" defaultMemberUniqueName="[Targets].[StoreID].[All]" allUniqueName="[Targets].[StoreID].[All]" dimensionUniqueName="[Targets]" displayFolder="" count="0" memberValueDatatype="2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TargetRevenue]" caption="TargetRevenue" attribute="1" defaultMemberUniqueName="[Targets].[TargetRevenue].[All]" allUniqueName="[Targets].[TargetRevenue].[All]" dimensionUniqueName="[Targets]" displayFolder="" count="0" memberValueDatatype="20" unbalanced="0"/>
    <cacheHierarchy uniqueName="[Measures].[Total Sales Revenue]" caption="Total Sales Revenue"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arget Revenue]" caption="Target Revenue" measure="1" displayFolder="" measureGroup="Sales" count="0"/>
    <cacheHierarchy uniqueName="[Measures].[Target ACH %]" caption="Target ACH %" measure="1" displayFolder="" measureGroup="Sales" count="0" oneField="1">
      <fieldsUsage count="1">
        <fieldUsage x="1"/>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Targets]" caption="__XL_Count Targets" measure="1" displayFolder="" measureGroup="Targ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argin %]" caption="Sum of Margin %" measure="1" displayFolder="" measureGroup="Products" count="0" hidden="1">
      <extLst>
        <ext xmlns:x15="http://schemas.microsoft.com/office/spreadsheetml/2010/11/main" uri="{B97F6D7D-B522-45F9-BDA1-12C45D357490}">
          <x15:cacheHierarchy aggregatedColumn="17"/>
        </ext>
      </extLst>
    </cacheHierarchy>
    <cacheHierarchy uniqueName="[Measures].[Sum of StoreID]" caption="Sum of StoreID" measure="1" displayFolder="" measureGroup="Sales" count="0" hidden="1">
      <extLst>
        <ext xmlns:x15="http://schemas.microsoft.com/office/spreadsheetml/2010/11/main" uri="{B97F6D7D-B522-45F9-BDA1-12C45D357490}">
          <x15:cacheHierarchy aggregatedColumn="21"/>
        </ext>
      </extLst>
    </cacheHierarchy>
    <cacheHierarchy uniqueName="[Measures].[Sum of StoreID 2]" caption="Sum of StoreID 2" measure="1" displayFolder="" measureGroup="Stores" count="0" hidden="1">
      <extLst>
        <ext xmlns:x15="http://schemas.microsoft.com/office/spreadsheetml/2010/11/main" uri="{B97F6D7D-B522-45F9-BDA1-12C45D357490}">
          <x15:cacheHierarchy aggregatedColumn="30"/>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CustomerID 2]" caption="Sum of CustomerID 2" measure="1" displayFolder="" measureGroup="Sale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 name="Targets" uniqueName="[Targets]" caption="Targets"/>
  </dimensions>
  <measureGroups count="6">
    <measureGroup name="Calendar" caption="Calendar"/>
    <measureGroup name="Customers" caption="Customers"/>
    <measureGroup name="Products" caption="Products"/>
    <measureGroup name="Sales" caption="Sales"/>
    <measureGroup name="Stores" caption="Stores"/>
    <measureGroup name="Targets" caption="Targets"/>
  </measureGroups>
  <maps count="11">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Salma Elkady" refreshedDate="46155.936367129631" backgroundQuery="1" createdVersion="8" refreshedVersion="8" minRefreshableVersion="3" recordCount="0" supportSubquery="1" supportAdvancedDrill="1" xr:uid="{23D084C1-4EBF-4783-BBC3-D6D10EB5FDF1}">
  <cacheSource type="external" connectionId="7"/>
  <cacheFields count="3">
    <cacheField name="[Stores].[City].[City]" caption="City" numFmtId="0" hierarchy="33" level="1">
      <sharedItems count="5">
        <s v="Chicago"/>
        <s v="Cloud"/>
        <s v="Houston"/>
        <s v="Los Angeles"/>
        <s v="New York"/>
      </sharedItems>
    </cacheField>
    <cacheField name="[Measures].[Sum of CustomerID 2]" caption="Sum of CustomerID 2" numFmtId="0" hierarchy="58" level="32767"/>
    <cacheField name="[Products].[Category].[Category]" caption="Category" numFmtId="0" hierarchy="13" level="1">
      <sharedItems containsSemiMixedTypes="0" containsNonDate="0" containsString="0"/>
    </cacheField>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 caption="Cost" attribute="1" defaultMemberUniqueName="[Products].[Cost].[All]" allUniqueName="[Products].[Cost].[All]" dimensionUniqueName="[Products]" displayFolder="" count="0" memberValueDatatype="5" unbalanced="0"/>
    <cacheHierarchy uniqueName="[Products].[ListPrice]" caption="ListPrice" attribute="1" defaultMemberUniqueName="[Products].[ListPrice].[All]" allUniqueName="[Products].[ListPrice].[All]" dimensionUniqueName="[Products]" displayFolder="" count="0" memberValueDatatype="5" unbalanced="0"/>
    <cacheHierarchy uniqueName="[Products].[Margin Status]" caption="Margin Status" attribute="1" defaultMemberUniqueName="[Products].[Margin Status].[All]" allUniqueName="[Products].[Margin Status].[All]" dimensionUniqueName="[Products]" displayFolder="" count="0" memberValueDatatype="130" unbalanced="0"/>
    <cacheHierarchy uniqueName="[Products].[Margin %]" caption="Margin %" attribute="1" defaultMemberUniqueName="[Products].[Margin %].[All]" allUniqueName="[Products].[Margin %].[All]" dimensionUniqueName="[Products]" displayFolder="" count="0" memberValueDatatype="5"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toreID]" caption="StoreID" attribute="1" defaultMemberUniqueName="[Sales].[StoreID].[All]" allUniqueName="[Sales].[Stor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Sales Category]" caption="Sales Category" attribute="1" defaultMemberUniqueName="[Sales].[Sales Category].[All]" allUniqueName="[Sales].[Sales Categor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GS]" caption="COGS" attribute="1" defaultMemberUniqueName="[Sales].[COGS].[All]" allUniqueName="[Sales].[COGS].[All]" dimensionUniqueName="[Sales]" displayFolder="" count="0" memberValueDatatype="5"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0"/>
      </fieldsUsage>
    </cacheHierarchy>
    <cacheHierarchy uniqueName="[Targets].[StoreID]" caption="StoreID" attribute="1" defaultMemberUniqueName="[Targets].[StoreID].[All]" allUniqueName="[Targets].[StoreID].[All]" dimensionUniqueName="[Targets]" displayFolder="" count="0" memberValueDatatype="2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TargetRevenue]" caption="TargetRevenue" attribute="1" defaultMemberUniqueName="[Targets].[TargetRevenue].[All]" allUniqueName="[Targets].[TargetRevenue].[All]" dimensionUniqueName="[Targets]" displayFolder="" count="0" memberValueDatatype="20" unbalanced="0"/>
    <cacheHierarchy uniqueName="[Measures].[Total Sales Revenue]" caption="Total Sales Revenue"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arget Revenue]" caption="Target Revenue" measure="1" displayFolder="" measureGroup="Sales" count="0"/>
    <cacheHierarchy uniqueName="[Measures].[Target ACH %]" caption="Target ACH %"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Targets]" caption="__XL_Count Targets" measure="1" displayFolder="" measureGroup="Targ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argin %]" caption="Sum of Margin %" measure="1" displayFolder="" measureGroup="Products" count="0" hidden="1">
      <extLst>
        <ext xmlns:x15="http://schemas.microsoft.com/office/spreadsheetml/2010/11/main" uri="{B97F6D7D-B522-45F9-BDA1-12C45D357490}">
          <x15:cacheHierarchy aggregatedColumn="17"/>
        </ext>
      </extLst>
    </cacheHierarchy>
    <cacheHierarchy uniqueName="[Measures].[Sum of StoreID]" caption="Sum of StoreID" measure="1" displayFolder="" measureGroup="Sales" count="0" hidden="1">
      <extLst>
        <ext xmlns:x15="http://schemas.microsoft.com/office/spreadsheetml/2010/11/main" uri="{B97F6D7D-B522-45F9-BDA1-12C45D357490}">
          <x15:cacheHierarchy aggregatedColumn="21"/>
        </ext>
      </extLst>
    </cacheHierarchy>
    <cacheHierarchy uniqueName="[Measures].[Sum of StoreID 2]" caption="Sum of StoreID 2" measure="1" displayFolder="" measureGroup="Stores" count="0" hidden="1">
      <extLst>
        <ext xmlns:x15="http://schemas.microsoft.com/office/spreadsheetml/2010/11/main" uri="{B97F6D7D-B522-45F9-BDA1-12C45D357490}">
          <x15:cacheHierarchy aggregatedColumn="30"/>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CustomerID 2]" caption="Sum of CustomerID 2"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 name="Targets" uniqueName="[Targets]" caption="Targets"/>
  </dimensions>
  <measureGroups count="6">
    <measureGroup name="Calendar" caption="Calendar"/>
    <measureGroup name="Customers" caption="Customers"/>
    <measureGroup name="Products" caption="Products"/>
    <measureGroup name="Sales" caption="Sales"/>
    <measureGroup name="Stores" caption="Stores"/>
    <measureGroup name="Targets" caption="Targets"/>
  </measureGroups>
  <maps count="11">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Salma Elkady" refreshedDate="46155.936367708331" backgroundQuery="1" createdVersion="8" refreshedVersion="8" minRefreshableVersion="3" recordCount="0" supportSubquery="1" supportAdvancedDrill="1" xr:uid="{6B955D44-5A3A-4DF6-9ECD-3CB9BB8ED0BB}">
  <cacheSource type="external" connectionId="7"/>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Sales]" caption="Total Sales" numFmtId="0" hierarchy="39" level="32767"/>
    <cacheField name="[Products].[Category].[Category]" caption="Category" numFmtId="0" hierarchy="13" level="1">
      <sharedItems containsSemiMixedTypes="0" containsNonDate="0" containsString="0"/>
    </cacheField>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 caption="Cost" attribute="1" defaultMemberUniqueName="[Products].[Cost].[All]" allUniqueName="[Products].[Cost].[All]" dimensionUniqueName="[Products]" displayFolder="" count="0" memberValueDatatype="5" unbalanced="0"/>
    <cacheHierarchy uniqueName="[Products].[ListPrice]" caption="ListPrice" attribute="1" defaultMemberUniqueName="[Products].[ListPrice].[All]" allUniqueName="[Products].[ListPrice].[All]" dimensionUniqueName="[Products]" displayFolder="" count="0" memberValueDatatype="5" unbalanced="0"/>
    <cacheHierarchy uniqueName="[Products].[Margin Status]" caption="Margin Status" attribute="1" defaultMemberUniqueName="[Products].[Margin Status].[All]" allUniqueName="[Products].[Margin Status].[All]" dimensionUniqueName="[Products]" displayFolder="" count="0" memberValueDatatype="130" unbalanced="0"/>
    <cacheHierarchy uniqueName="[Products].[Margin %]" caption="Margin %" attribute="1" defaultMemberUniqueName="[Products].[Margin %].[All]" allUniqueName="[Products].[Margin %].[All]" dimensionUniqueName="[Products]" displayFolder="" count="0" memberValueDatatype="5"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toreID]" caption="StoreID" attribute="1" defaultMemberUniqueName="[Sales].[StoreID].[All]" allUniqueName="[Sales].[Stor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Sales Category]" caption="Sales Category" attribute="1" defaultMemberUniqueName="[Sales].[Sales Category].[All]" allUniqueName="[Sales].[Sales Categor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GS]" caption="COGS" attribute="1" defaultMemberUniqueName="[Sales].[COGS].[All]" allUniqueName="[Sales].[COGS].[All]" dimensionUniqueName="[Sales]" displayFolder="" count="0" memberValueDatatype="5"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Targets].[StoreID]" caption="StoreID" attribute="1" defaultMemberUniqueName="[Targets].[StoreID].[All]" allUniqueName="[Targets].[StoreID].[All]" dimensionUniqueName="[Targets]" displayFolder="" count="0" memberValueDatatype="2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TargetRevenue]" caption="TargetRevenue" attribute="1" defaultMemberUniqueName="[Targets].[TargetRevenue].[All]" allUniqueName="[Targets].[TargetRevenue].[All]" dimensionUniqueName="[Targets]" displayFolder="" count="0" memberValueDatatype="20" unbalanced="0"/>
    <cacheHierarchy uniqueName="[Measures].[Total Sales Revenue]" caption="Total Sales Revenue" measure="1" displayFolder="" measureGroup="Sales" count="0"/>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arget Revenue]" caption="Target Revenue" measure="1" displayFolder="" measureGroup="Sales" count="0"/>
    <cacheHierarchy uniqueName="[Measures].[Target ACH %]" caption="Target ACH %"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Targets]" caption="__XL_Count Targets" measure="1" displayFolder="" measureGroup="Targ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argin %]" caption="Sum of Margin %" measure="1" displayFolder="" measureGroup="Products" count="0" hidden="1">
      <extLst>
        <ext xmlns:x15="http://schemas.microsoft.com/office/spreadsheetml/2010/11/main" uri="{B97F6D7D-B522-45F9-BDA1-12C45D357490}">
          <x15:cacheHierarchy aggregatedColumn="17"/>
        </ext>
      </extLst>
    </cacheHierarchy>
    <cacheHierarchy uniqueName="[Measures].[Sum of StoreID]" caption="Sum of StoreID" measure="1" displayFolder="" measureGroup="Sales" count="0" hidden="1">
      <extLst>
        <ext xmlns:x15="http://schemas.microsoft.com/office/spreadsheetml/2010/11/main" uri="{B97F6D7D-B522-45F9-BDA1-12C45D357490}">
          <x15:cacheHierarchy aggregatedColumn="21"/>
        </ext>
      </extLst>
    </cacheHierarchy>
    <cacheHierarchy uniqueName="[Measures].[Sum of StoreID 2]" caption="Sum of StoreID 2" measure="1" displayFolder="" measureGroup="Stores" count="0" hidden="1">
      <extLst>
        <ext xmlns:x15="http://schemas.microsoft.com/office/spreadsheetml/2010/11/main" uri="{B97F6D7D-B522-45F9-BDA1-12C45D357490}">
          <x15:cacheHierarchy aggregatedColumn="30"/>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CustomerID 2]" caption="Sum of CustomerID 2" measure="1" displayFolder="" measureGroup="Sale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 name="Targets" uniqueName="[Targets]" caption="Targets"/>
  </dimensions>
  <measureGroups count="6">
    <measureGroup name="Calendar" caption="Calendar"/>
    <measureGroup name="Customers" caption="Customers"/>
    <measureGroup name="Products" caption="Products"/>
    <measureGroup name="Sales" caption="Sales"/>
    <measureGroup name="Stores" caption="Stores"/>
    <measureGroup name="Targets" caption="Targets"/>
  </measureGroups>
  <maps count="11">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Salma Elkady" refreshedDate="46155.936368750001" backgroundQuery="1" createdVersion="8" refreshedVersion="8" minRefreshableVersion="3" recordCount="0" supportSubquery="1" supportAdvancedDrill="1" xr:uid="{619F7DBC-D059-4157-B30C-DB1BC5C1F3AF}">
  <cacheSource type="external" connectionId="7"/>
  <cacheFields count="3">
    <cacheField name="[Products].[Margin Status].[Margin Status]" caption="Margin Status" numFmtId="0" hierarchy="16" level="1">
      <sharedItems count="2">
        <s v="High Margin"/>
        <s v="Standard Margin"/>
      </sharedItems>
    </cacheField>
    <cacheField name="[Measures].[Sum of Discount]" caption="Sum of Discount" numFmtId="0" hierarchy="60" level="32767"/>
    <cacheField name="[Products].[Category].[Category]" caption="Category" numFmtId="0" hierarchy="13" level="1">
      <sharedItems containsSemiMixedTypes="0" containsNonDate="0" containsString="0"/>
    </cacheField>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 caption="Cost" attribute="1" defaultMemberUniqueName="[Products].[Cost].[All]" allUniqueName="[Products].[Cost].[All]" dimensionUniqueName="[Products]" displayFolder="" count="0" memberValueDatatype="5" unbalanced="0"/>
    <cacheHierarchy uniqueName="[Products].[ListPrice]" caption="ListPrice" attribute="1" defaultMemberUniqueName="[Products].[ListPrice].[All]" allUniqueName="[Products].[ListPrice].[All]" dimensionUniqueName="[Products]" displayFolder="" count="0" memberValueDatatype="5" unbalanced="0"/>
    <cacheHierarchy uniqueName="[Products].[Margin Status]" caption="Margin Status" attribute="1" defaultMemberUniqueName="[Products].[Margin Status].[All]" allUniqueName="[Products].[Margin Status].[All]" dimensionUniqueName="[Products]" displayFolder="" count="2" memberValueDatatype="130" unbalanced="0">
      <fieldsUsage count="2">
        <fieldUsage x="-1"/>
        <fieldUsage x="0"/>
      </fieldsUsage>
    </cacheHierarchy>
    <cacheHierarchy uniqueName="[Products].[Margin %]" caption="Margin %" attribute="1" defaultMemberUniqueName="[Products].[Margin %].[All]" allUniqueName="[Products].[Margin %].[All]" dimensionUniqueName="[Products]" displayFolder="" count="0" memberValueDatatype="5"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toreID]" caption="StoreID" attribute="1" defaultMemberUniqueName="[Sales].[StoreID].[All]" allUniqueName="[Sales].[Stor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Sales Category]" caption="Sales Category" attribute="1" defaultMemberUniqueName="[Sales].[Sales Category].[All]" allUniqueName="[Sales].[Sales Categor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GS]" caption="COGS" attribute="1" defaultMemberUniqueName="[Sales].[COGS].[All]" allUniqueName="[Sales].[COGS].[All]" dimensionUniqueName="[Sales]" displayFolder="" count="0" memberValueDatatype="5"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Targets].[StoreID]" caption="StoreID" attribute="1" defaultMemberUniqueName="[Targets].[StoreID].[All]" allUniqueName="[Targets].[StoreID].[All]" dimensionUniqueName="[Targets]" displayFolder="" count="0" memberValueDatatype="2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TargetRevenue]" caption="TargetRevenue" attribute="1" defaultMemberUniqueName="[Targets].[TargetRevenue].[All]" allUniqueName="[Targets].[TargetRevenue].[All]" dimensionUniqueName="[Targets]" displayFolder="" count="0" memberValueDatatype="20" unbalanced="0"/>
    <cacheHierarchy uniqueName="[Measures].[Total Sales Revenue]" caption="Total Sales Revenue"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arget Revenue]" caption="Target Revenue" measure="1" displayFolder="" measureGroup="Sales" count="0"/>
    <cacheHierarchy uniqueName="[Measures].[Target ACH %]" caption="Target ACH %"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Targets]" caption="__XL_Count Targets" measure="1" displayFolder="" measureGroup="Targ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argin %]" caption="Sum of Margin %" measure="1" displayFolder="" measureGroup="Products" count="0" hidden="1">
      <extLst>
        <ext xmlns:x15="http://schemas.microsoft.com/office/spreadsheetml/2010/11/main" uri="{B97F6D7D-B522-45F9-BDA1-12C45D357490}">
          <x15:cacheHierarchy aggregatedColumn="17"/>
        </ext>
      </extLst>
    </cacheHierarchy>
    <cacheHierarchy uniqueName="[Measures].[Sum of StoreID]" caption="Sum of StoreID" measure="1" displayFolder="" measureGroup="Sales" count="0" hidden="1">
      <extLst>
        <ext xmlns:x15="http://schemas.microsoft.com/office/spreadsheetml/2010/11/main" uri="{B97F6D7D-B522-45F9-BDA1-12C45D357490}">
          <x15:cacheHierarchy aggregatedColumn="21"/>
        </ext>
      </extLst>
    </cacheHierarchy>
    <cacheHierarchy uniqueName="[Measures].[Sum of StoreID 2]" caption="Sum of StoreID 2" measure="1" displayFolder="" measureGroup="Stores" count="0" hidden="1">
      <extLst>
        <ext xmlns:x15="http://schemas.microsoft.com/office/spreadsheetml/2010/11/main" uri="{B97F6D7D-B522-45F9-BDA1-12C45D357490}">
          <x15:cacheHierarchy aggregatedColumn="30"/>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CustomerID 2]" caption="Sum of CustomerID 2" measure="1" displayFolder="" measureGroup="Sale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 name="Targets" uniqueName="[Targets]" caption="Targets"/>
  </dimensions>
  <measureGroups count="6">
    <measureGroup name="Calendar" caption="Calendar"/>
    <measureGroup name="Customers" caption="Customers"/>
    <measureGroup name="Products" caption="Products"/>
    <measureGroup name="Sales" caption="Sales"/>
    <measureGroup name="Stores" caption="Stores"/>
    <measureGroup name="Targets" caption="Targets"/>
  </measureGroups>
  <maps count="11">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Salma Elkady" refreshedDate="46155.936368171293" backgroundQuery="1" createdVersion="8" refreshedVersion="8" minRefreshableVersion="3" recordCount="0" supportSubquery="1" supportAdvancedDrill="1" xr:uid="{AB773196-4D33-4578-AF39-673088CE0C22}">
  <cacheSource type="external" connectionId="7"/>
  <cacheFields count="2">
    <cacheField name="[Measures].[Sum of Quantity]" caption="Sum of Quantity" numFmtId="0" hierarchy="59" level="32767"/>
    <cacheField name="[Products].[Category].[Category]" caption="Category" numFmtId="0" hierarchy="13" level="1">
      <sharedItems count="4">
        <s v="Accessories"/>
        <s v="Laptops"/>
        <s v="Monitors"/>
        <s v="Tablets"/>
      </sharedItems>
    </cacheField>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st]" caption="Cost" attribute="1" defaultMemberUniqueName="[Products].[Cost].[All]" allUniqueName="[Products].[Cost].[All]" dimensionUniqueName="[Products]" displayFolder="" count="0" memberValueDatatype="5" unbalanced="0"/>
    <cacheHierarchy uniqueName="[Products].[ListPrice]" caption="ListPrice" attribute="1" defaultMemberUniqueName="[Products].[ListPrice].[All]" allUniqueName="[Products].[ListPrice].[All]" dimensionUniqueName="[Products]" displayFolder="" count="0" memberValueDatatype="5" unbalanced="0"/>
    <cacheHierarchy uniqueName="[Products].[Margin Status]" caption="Margin Status" attribute="1" defaultMemberUniqueName="[Products].[Margin Status].[All]" allUniqueName="[Products].[Margin Status].[All]" dimensionUniqueName="[Products]" displayFolder="" count="0" memberValueDatatype="130" unbalanced="0"/>
    <cacheHierarchy uniqueName="[Products].[Margin %]" caption="Margin %" attribute="1" defaultMemberUniqueName="[Products].[Margin %].[All]" allUniqueName="[Products].[Margin %].[All]" dimensionUniqueName="[Products]" displayFolder="" count="0" memberValueDatatype="5"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toreID]" caption="StoreID" attribute="1" defaultMemberUniqueName="[Sales].[StoreID].[All]" allUniqueName="[Sales].[Stor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Sales Category]" caption="Sales Category" attribute="1" defaultMemberUniqueName="[Sales].[Sales Category].[All]" allUniqueName="[Sales].[Sales Categor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GS]" caption="COGS" attribute="1" defaultMemberUniqueName="[Sales].[COGS].[All]" allUniqueName="[Sales].[COGS].[All]" dimensionUniqueName="[Sales]" displayFolder="" count="0" memberValueDatatype="5"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Targets].[StoreID]" caption="StoreID" attribute="1" defaultMemberUniqueName="[Targets].[StoreID].[All]" allUniqueName="[Targets].[StoreID].[All]" dimensionUniqueName="[Targets]" displayFolder="" count="0" memberValueDatatype="2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TargetRevenue]" caption="TargetRevenue" attribute="1" defaultMemberUniqueName="[Targets].[TargetRevenue].[All]" allUniqueName="[Targets].[TargetRevenue].[All]" dimensionUniqueName="[Targets]" displayFolder="" count="0" memberValueDatatype="20" unbalanced="0"/>
    <cacheHierarchy uniqueName="[Measures].[Total Sales Revenue]" caption="Total Sales Revenue"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arget Revenue]" caption="Target Revenue" measure="1" displayFolder="" measureGroup="Sales" count="0"/>
    <cacheHierarchy uniqueName="[Measures].[Target ACH %]" caption="Target ACH %"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Targets]" caption="__XL_Count Targets" measure="1" displayFolder="" measureGroup="Targ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argin %]" caption="Sum of Margin %" measure="1" displayFolder="" measureGroup="Products" count="0" hidden="1">
      <extLst>
        <ext xmlns:x15="http://schemas.microsoft.com/office/spreadsheetml/2010/11/main" uri="{B97F6D7D-B522-45F9-BDA1-12C45D357490}">
          <x15:cacheHierarchy aggregatedColumn="17"/>
        </ext>
      </extLst>
    </cacheHierarchy>
    <cacheHierarchy uniqueName="[Measures].[Sum of StoreID]" caption="Sum of StoreID" measure="1" displayFolder="" measureGroup="Sales" count="0" hidden="1">
      <extLst>
        <ext xmlns:x15="http://schemas.microsoft.com/office/spreadsheetml/2010/11/main" uri="{B97F6D7D-B522-45F9-BDA1-12C45D357490}">
          <x15:cacheHierarchy aggregatedColumn="21"/>
        </ext>
      </extLst>
    </cacheHierarchy>
    <cacheHierarchy uniqueName="[Measures].[Sum of StoreID 2]" caption="Sum of StoreID 2" measure="1" displayFolder="" measureGroup="Stores" count="0" hidden="1">
      <extLst>
        <ext xmlns:x15="http://schemas.microsoft.com/office/spreadsheetml/2010/11/main" uri="{B97F6D7D-B522-45F9-BDA1-12C45D357490}">
          <x15:cacheHierarchy aggregatedColumn="30"/>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CustomerID 2]" caption="Sum of CustomerID 2" measure="1" displayFolder="" measureGroup="Sale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5"/>
        </ext>
      </extLst>
    </cacheHierarchy>
  </cacheHierarchies>
  <kpis count="0"/>
  <dimensions count="7">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 name="Targets" uniqueName="[Targets]" caption="Targets"/>
  </dimensions>
  <measureGroups count="6">
    <measureGroup name="Calendar" caption="Calendar"/>
    <measureGroup name="Customers" caption="Customers"/>
    <measureGroup name="Products" caption="Products"/>
    <measureGroup name="Sales" caption="Sales"/>
    <measureGroup name="Stores" caption="Stores"/>
    <measureGroup name="Targets" caption="Targets"/>
  </measureGroups>
  <maps count="11">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Salma Elkady" refreshedDate="46155.931430671299" backgroundQuery="1" createdVersion="3" refreshedVersion="8" minRefreshableVersion="3" recordCount="0" supportSubquery="1" supportAdvancedDrill="1" xr:uid="{D08935D1-E0EF-4E1E-A11D-D9C7A7C22B7E}">
  <cacheSource type="external" connectionId="7">
    <extLst>
      <ext xmlns:x14="http://schemas.microsoft.com/office/spreadsheetml/2009/9/main" uri="{F057638F-6D5F-4e77-A914-E7F072B9BCA8}">
        <x14:sourceConnection name="ThisWorkbookDataModel"/>
      </ext>
    </extLst>
  </cacheSource>
  <cacheFields count="0"/>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 caption="Cost" attribute="1" defaultMemberUniqueName="[Products].[Cost].[All]" allUniqueName="[Products].[Cost].[All]" dimensionUniqueName="[Products]" displayFolder="" count="0" memberValueDatatype="5" unbalanced="0"/>
    <cacheHierarchy uniqueName="[Products].[ListPrice]" caption="ListPrice" attribute="1" defaultMemberUniqueName="[Products].[ListPrice].[All]" allUniqueName="[Products].[ListPrice].[All]" dimensionUniqueName="[Products]" displayFolder="" count="0" memberValueDatatype="5" unbalanced="0"/>
    <cacheHierarchy uniqueName="[Products].[Margin Status]" caption="Margin Status" attribute="1" defaultMemberUniqueName="[Products].[Margin Status].[All]" allUniqueName="[Products].[Margin Status].[All]" dimensionUniqueName="[Products]" displayFolder="" count="0" memberValueDatatype="130" unbalanced="0"/>
    <cacheHierarchy uniqueName="[Products].[Margin %]" caption="Margin %" attribute="1" defaultMemberUniqueName="[Products].[Margin %].[All]" allUniqueName="[Products].[Margin %].[All]" dimensionUniqueName="[Products]" displayFolder="" count="0" memberValueDatatype="5"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StoreID]" caption="StoreID" attribute="1" defaultMemberUniqueName="[Sales].[StoreID].[All]" allUniqueName="[Sales].[Stor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Sales Category]" caption="Sales Category" attribute="1" defaultMemberUniqueName="[Sales].[Sales Category].[All]" allUniqueName="[Sales].[Sales Category].[All]" dimensionUniqueName="[Sales]" displayFolder="" count="0" memberValueDatatype="130" unbalanced="0"/>
    <cacheHierarchy uniqueName="[Sales].[Cost]" caption="Cost" attribute="1" defaultMemberUniqueName="[Sales].[Cost].[All]" allUniqueName="[Sales].[Cost].[All]" dimensionUniqueName="[Sales]" displayFolder="" count="0" memberValueDatatype="5" unbalanced="0"/>
    <cacheHierarchy uniqueName="[Sales].[COGS]" caption="COGS" attribute="1" defaultMemberUniqueName="[Sales].[COGS].[All]" allUniqueName="[Sales].[COGS].[All]" dimensionUniqueName="[Sales]" displayFolder="" count="0" memberValueDatatype="5"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Targets].[StoreID]" caption="StoreID" attribute="1" defaultMemberUniqueName="[Targets].[StoreID].[All]" allUniqueName="[Targets].[StoreID].[All]" dimensionUniqueName="[Targets]" displayFolder="" count="0" memberValueDatatype="2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TargetRevenue]" caption="TargetRevenue" attribute="1" defaultMemberUniqueName="[Targets].[TargetRevenue].[All]" allUniqueName="[Targets].[TargetRevenue].[All]" dimensionUniqueName="[Targets]" displayFolder="" count="0" memberValueDatatype="20" unbalanced="0"/>
    <cacheHierarchy uniqueName="[Measures].[Total Sales Revenue]" caption="Total Sales Revenue"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arget Revenue]" caption="Target Revenue" measure="1" displayFolder="" measureGroup="Sales" count="0"/>
    <cacheHierarchy uniqueName="[Measures].[Target ACH %]" caption="Target ACH %"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Targets]" caption="__XL_Count Targets" measure="1" displayFolder="" measureGroup="Targ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Margin %]" caption="Sum of Margin %" measure="1" displayFolder="" measureGroup="Products" count="0" hidden="1">
      <extLst>
        <ext xmlns:x15="http://schemas.microsoft.com/office/spreadsheetml/2010/11/main" uri="{B97F6D7D-B522-45F9-BDA1-12C45D357490}">
          <x15:cacheHierarchy aggregatedColumn="17"/>
        </ext>
      </extLst>
    </cacheHierarchy>
    <cacheHierarchy uniqueName="[Measures].[Sum of StoreID]" caption="Sum of StoreID" measure="1" displayFolder="" measureGroup="Sales" count="0" hidden="1">
      <extLst>
        <ext xmlns:x15="http://schemas.microsoft.com/office/spreadsheetml/2010/11/main" uri="{B97F6D7D-B522-45F9-BDA1-12C45D357490}">
          <x15:cacheHierarchy aggregatedColumn="21"/>
        </ext>
      </extLst>
    </cacheHierarchy>
    <cacheHierarchy uniqueName="[Measures].[Sum of StoreID 2]" caption="Sum of StoreID 2" measure="1" displayFolder="" measureGroup="Stores" count="0" hidden="1">
      <extLst>
        <ext xmlns:x15="http://schemas.microsoft.com/office/spreadsheetml/2010/11/main" uri="{B97F6D7D-B522-45F9-BDA1-12C45D357490}">
          <x15:cacheHierarchy aggregatedColumn="30"/>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CustomerID 2]" caption="Sum of CustomerID 2" measure="1" displayFolder="" measureGroup="Sale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5886467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375556-2F2A-4862-8F7D-969807D66249}" name="PivotTable7" cacheId="300" applyNumberFormats="0" applyBorderFormats="0" applyFontFormats="0" applyPatternFormats="0" applyAlignmentFormats="0" applyWidthHeightFormats="1" dataCaption="Values" tag="604981b0-273d-4a24-84d0-644a22a8adf7" updatedVersion="8" minRefreshableVersion="3" useAutoFormatting="1" itemPrintTitles="1" createdVersion="8" indent="0" outline="1" outlineData="1" multipleFieldFilters="0" chartFormat="5">
  <location ref="Y2:Z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Discount" fld="1" showDataAs="percentOfCol" baseField="0" baseItem="0" numFmtId="9"/>
  </dataFields>
  <formats count="1">
    <format dxfId="6">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6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218E33-E2A9-402E-8967-8F658C151450}" name="PivotTable6" cacheId="298" applyNumberFormats="0" applyBorderFormats="0" applyFontFormats="0" applyPatternFormats="0" applyAlignmentFormats="0" applyWidthHeightFormats="1" dataCaption="Values" tag="c20b3b7e-abd0-484e-889b-84fee3eb8fe8" updatedVersion="8" minRefreshableVersion="3" useAutoFormatting="1" itemPrintTitles="1" createdVersion="8" indent="0" outline="1" outlineData="1" multipleFieldFilters="0" chartFormat="8">
  <location ref="V2:W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Quantity" fld="0" baseField="0" baseItem="0"/>
  </dataFields>
  <chartFormats count="6">
    <chartFormat chart="1"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Hierarchies count="6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6ECF31-B119-43D8-AB91-D3D53B45F4DB}" name="PivotTable5" cacheId="295" applyNumberFormats="0" applyBorderFormats="0" applyFontFormats="0" applyPatternFormats="0" applyAlignmentFormats="0" applyWidthHeightFormats="1" dataCaption="Values" tag="95ebe12c-afb5-4edf-8a66-9db06b376309" updatedVersion="8" minRefreshableVersion="3" useAutoFormatting="1" subtotalHiddenItems="1" itemPrintTitles="1" createdVersion="8" indent="0" outline="1" outlineData="1" multipleFieldFilters="0" chartFormat="5">
  <location ref="S3:T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7"/>
          </reference>
        </references>
      </pivotArea>
    </chartFormat>
    <chartFormat chart="4" format="11">
      <pivotArea type="data" outline="0" fieldPosition="0">
        <references count="2">
          <reference field="4294967294" count="1" selected="0">
            <x v="0"/>
          </reference>
          <reference field="0" count="1" selected="0">
            <x v="8"/>
          </reference>
        </references>
      </pivotArea>
    </chartFormat>
    <chartFormat chart="4" format="12">
      <pivotArea type="data" outline="0" fieldPosition="0">
        <references count="2">
          <reference field="4294967294" count="1" selected="0">
            <x v="0"/>
          </reference>
          <reference field="0" count="1" selected="0">
            <x v="9"/>
          </reference>
        </references>
      </pivotArea>
    </chartFormat>
    <chartFormat chart="4" format="13">
      <pivotArea type="data" outline="0" fieldPosition="0">
        <references count="2">
          <reference field="4294967294" count="1" selected="0">
            <x v="0"/>
          </reference>
          <reference field="0" count="1" selected="0">
            <x v="10"/>
          </reference>
        </references>
      </pivotArea>
    </chartFormat>
    <chartFormat chart="4" format="14">
      <pivotArea type="data" outline="0" fieldPosition="0">
        <references count="2">
          <reference field="4294967294" count="1" selected="0">
            <x v="0"/>
          </reference>
          <reference field="0" count="1" selected="0">
            <x v="11"/>
          </reference>
        </references>
      </pivotArea>
    </chartFormat>
  </chartFormats>
  <pivotHierarchies count="6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FBD6E4-0D07-440B-9A3C-1589128A3755}" name="PivotTable4" cacheId="293" applyNumberFormats="0" applyBorderFormats="0" applyFontFormats="0" applyPatternFormats="0" applyAlignmentFormats="0" applyWidthHeightFormats="1" dataCaption="Values" tag="2193ba27-3813-44a0-a878-6a62889bca63" updatedVersion="8" minRefreshableVersion="3" useAutoFormatting="1" itemPrintTitles="1" createdVersion="8" indent="0" outline="1" outlineData="1" multipleFieldFilters="0" chartFormat="7">
  <location ref="P2:Q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1"/>
    </i>
    <i>
      <x v="2"/>
    </i>
    <i>
      <x v="4"/>
    </i>
    <i t="grand">
      <x/>
    </i>
  </rowItems>
  <colItems count="1">
    <i/>
  </colItems>
  <dataFields count="1">
    <dataField name="Sum of CustomerID" fld="1" baseField="0"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3"/>
          </reference>
        </references>
      </pivotArea>
    </chartFormat>
  </chartFormats>
  <pivotHierarchies count="6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1D6B34-EC66-4FF9-8955-88D0B6E2CCFE}" name="PivotTable3" cacheId="291" applyNumberFormats="0" applyBorderFormats="0" applyFontFormats="0" applyPatternFormats="0" applyAlignmentFormats="0" applyWidthHeightFormats="1" dataCaption="Values" tag="370f8d5b-7a69-4faa-b309-7dd9c6304396" updatedVersion="8" minRefreshableVersion="3" useAutoFormatting="1" itemPrintTitles="1" createdVersion="8" indent="0" outline="1" outlineData="1" multipleFieldFilters="0" chartFormat="7">
  <location ref="L2:M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i>
    <i>
      <x v="4"/>
    </i>
    <i>
      <x v="3"/>
    </i>
    <i t="grand">
      <x/>
    </i>
  </rowItems>
  <colItems count="1">
    <i/>
  </colItems>
  <dataFields count="1">
    <dataField fld="1" subtotal="count" baseField="0" baseItem="0" numFmtId="166"/>
  </dataFields>
  <formats count="1">
    <format dxfId="5">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s>
  <pivotHierarchies count="6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423B80-1411-459B-9D61-80B50ACA1229}" name="PivotTable2" cacheId="302" applyNumberFormats="0" applyBorderFormats="0" applyFontFormats="0" applyPatternFormats="0" applyAlignmentFormats="0" applyWidthHeightFormats="1" dataCaption="Values" tag="11625bed-e9c9-4434-b2a5-e54b353260d8" updatedVersion="8" minRefreshableVersion="3" useAutoFormatting="1" itemPrintTitles="1" createdVersion="8" indent="0" outline="1" outlineData="1" multipleFieldFilters="0" chartFormat="5">
  <location ref="I2:J1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1"/>
    </i>
    <i>
      <x v="3"/>
    </i>
    <i>
      <x v="8"/>
    </i>
    <i>
      <x v="4"/>
    </i>
    <i>
      <x v="5"/>
    </i>
    <i>
      <x v="9"/>
    </i>
    <i>
      <x/>
    </i>
    <i>
      <x v="6"/>
    </i>
    <i>
      <x v="2"/>
    </i>
    <i t="grand">
      <x/>
    </i>
  </rowItems>
  <colItems count="1">
    <i/>
  </colItems>
  <dataFields count="1">
    <dataField fld="1" subtotal="count" baseField="0" baseItem="0"/>
  </dataFields>
  <formats count="2">
    <format dxfId="8">
      <pivotArea outline="0" collapsedLevelsAreSubtotals="1" fieldPosition="0"/>
    </format>
    <format dxfId="7">
      <pivotArea collapsedLevelsAreSubtotals="1" fieldPosition="0">
        <references count="1">
          <reference field="0" count="0"/>
        </references>
      </pivotArea>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7"/>
          </reference>
        </references>
      </pivotArea>
    </chartFormat>
  </chartFormats>
  <pivotHierarchies count="6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97152B-B177-4341-87E9-6F278F4AB3AB}" name="PivotTable1" cacheId="289" applyNumberFormats="0" applyBorderFormats="0" applyFontFormats="0" applyPatternFormats="0" applyAlignmentFormats="0" applyWidthHeightFormats="1" dataCaption="Values" tag="a66b235c-3ff6-4220-ace6-94eb547de42a" updatedVersion="8" minRefreshableVersion="3" useAutoFormatting="1" itemPrintTitles="1" createdVersion="8" indent="0" outline="1" outlineData="1" multipleFieldFilters="0">
  <location ref="C2:F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168"/>
    <dataField fld="2" subtotal="count" baseField="0" baseItem="0" numFmtId="3"/>
    <dataField fld="3" subtotal="count" baseField="0" baseItem="0" numFmtId="165"/>
  </dataFields>
  <formats count="3">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s>
  <pivotHierarchies count="6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66CCF14D-706F-41E9-82F2-4A42D6C4C8D5}" sourceName="[Calendar].[Date Hierarchy]">
  <pivotTables>
    <pivotTable tabId="1" name="PivotTable2"/>
    <pivotTable tabId="1" name="PivotTable1"/>
    <pivotTable tabId="1" name="PivotTable3"/>
    <pivotTable tabId="1" name="PivotTable4"/>
    <pivotTable tabId="1" name="PivotTable5"/>
    <pivotTable tabId="1" name="PivotTable6"/>
    <pivotTable tabId="1" name="PivotTable7"/>
  </pivotTables>
  <data>
    <olap pivotCacheId="588646722">
      <levels count="4">
        <level uniqueName="[Calendar].[Date Hierarchy].[(All)]" sourceCaption="(All)" count="0"/>
        <level uniqueName="[Calendar].[Date Hierarchy].[Year]" sourceCaption="Year" count="2">
          <ranges>
            <range startItem="0">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405630-426A-42F4-9147-88EF324B6D6D}" sourceName="[Products].[Category]">
  <pivotTables>
    <pivotTable tabId="1" name="PivotTable2"/>
    <pivotTable tabId="1" name="PivotTable1"/>
    <pivotTable tabId="1" name="PivotTable3"/>
    <pivotTable tabId="1" name="PivotTable4"/>
    <pivotTable tabId="1" name="PivotTable5"/>
    <pivotTable tabId="1" name="PivotTable6"/>
    <pivotTable tabId="1" name="PivotTable7"/>
  </pivotTables>
  <data>
    <olap pivotCacheId="588646722">
      <levels count="2">
        <level uniqueName="[Products].[Category].[(All)]" sourceCaption="(All)" count="0"/>
        <level uniqueName="[Products].[Category].[Category]" sourceCaption="Category" count="4">
          <ranges>
            <range startItem="0">
              <i n="[Products].[Category].&amp;[Accessories]" c="Accessories"/>
              <i n="[Products].[Category].&amp;[Laptops]" c="Laptops"/>
              <i n="[Products].[Category].&amp;[Monitors]" c="Monitors"/>
              <i n="[Products].[Category].&amp;[Tablets]" c="Tabl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06B14DC-18FD-4198-B7A7-C31E40CA24DC}" cache="Slicer_Date_Hierarchy" caption="Year" level="1" style="SlicerStyleLight5 2" rowHeight="247650"/>
  <slicer name="Category" xr10:uid="{0C146287-F71B-4B54-B1FA-FC1D2B102CB6}" cache="Slicer_Category" caption="Category" level="1" style="SlicerStyleLight5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5F9266E-03E0-4732-8898-3EEC93C4A763}" cache="Slicer_Date_Hierarchy" caption="Year" level="1" style="SlicerStyleLight5 2" rowHeight="247650"/>
  <slicer name="Category 1" xr10:uid="{9921280E-198D-467D-B19F-76540A45DB4E}" cache="Slicer_Category" caption="Category" level="1" style="SlicerStyleLight5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F3BD-3BDF-4F3E-BBDC-705783E89DA5}">
  <dimension ref="C2:Z16"/>
  <sheetViews>
    <sheetView workbookViewId="0">
      <selection activeCell="I2" sqref="I2"/>
    </sheetView>
  </sheetViews>
  <sheetFormatPr defaultRowHeight="14.4" x14ac:dyDescent="0.3"/>
  <cols>
    <col min="3" max="3" width="17.5546875" bestFit="1" customWidth="1"/>
    <col min="4" max="4" width="10.44140625" bestFit="1" customWidth="1"/>
    <col min="5" max="5" width="10.6640625" bestFit="1" customWidth="1"/>
    <col min="6" max="6" width="13.44140625" bestFit="1" customWidth="1"/>
    <col min="9" max="9" width="18.33203125" bestFit="1" customWidth="1"/>
    <col min="10" max="10" width="17.5546875" bestFit="1" customWidth="1"/>
    <col min="11" max="11" width="11.5546875" bestFit="1" customWidth="1"/>
    <col min="12" max="12" width="15.6640625" bestFit="1" customWidth="1"/>
    <col min="13" max="13" width="12" bestFit="1" customWidth="1"/>
    <col min="16" max="16" width="12.44140625" bestFit="1" customWidth="1"/>
    <col min="17" max="17" width="17" bestFit="1" customWidth="1"/>
    <col min="19" max="19" width="12.44140625" bestFit="1" customWidth="1"/>
    <col min="20" max="20" width="10" bestFit="1" customWidth="1"/>
    <col min="21" max="21" width="15.5546875" bestFit="1" customWidth="1"/>
    <col min="22" max="22" width="12.44140625" bestFit="1" customWidth="1"/>
    <col min="23" max="23" width="14.21875" bestFit="1" customWidth="1"/>
    <col min="24" max="24" width="15.5546875" bestFit="1" customWidth="1"/>
    <col min="25" max="25" width="14.109375" bestFit="1" customWidth="1"/>
    <col min="26" max="26" width="14.44140625" bestFit="1" customWidth="1"/>
    <col min="27" max="30" width="15.5546875" bestFit="1" customWidth="1"/>
    <col min="31" max="31" width="10.5546875" bestFit="1" customWidth="1"/>
  </cols>
  <sheetData>
    <row r="2" spans="3:26" x14ac:dyDescent="0.3">
      <c r="C2" t="s">
        <v>0</v>
      </c>
      <c r="D2" t="s">
        <v>1</v>
      </c>
      <c r="E2" t="s">
        <v>2</v>
      </c>
      <c r="F2" t="s">
        <v>3</v>
      </c>
      <c r="I2" s="3" t="s">
        <v>4</v>
      </c>
      <c r="J2" t="s">
        <v>0</v>
      </c>
      <c r="L2" s="3" t="s">
        <v>4</v>
      </c>
      <c r="M2" t="s">
        <v>26</v>
      </c>
      <c r="P2" s="3" t="s">
        <v>4</v>
      </c>
      <c r="Q2" t="s">
        <v>32</v>
      </c>
      <c r="V2" s="3" t="s">
        <v>4</v>
      </c>
      <c r="W2" t="s">
        <v>45</v>
      </c>
      <c r="Y2" s="3" t="s">
        <v>4</v>
      </c>
      <c r="Z2" t="s">
        <v>48</v>
      </c>
    </row>
    <row r="3" spans="3:26" x14ac:dyDescent="0.3">
      <c r="C3" s="8">
        <v>5397328.564999979</v>
      </c>
      <c r="D3" s="10">
        <v>3730339.47</v>
      </c>
      <c r="E3" s="8">
        <v>1666989.0949999788</v>
      </c>
      <c r="F3" s="5">
        <v>0.30885447771512226</v>
      </c>
      <c r="I3" s="4" t="s">
        <v>20</v>
      </c>
      <c r="J3" s="10">
        <v>828960.48000000068</v>
      </c>
      <c r="L3" s="4" t="s">
        <v>23</v>
      </c>
      <c r="M3" s="6">
        <v>4.664749353005746</v>
      </c>
      <c r="P3" s="4" t="s">
        <v>30</v>
      </c>
      <c r="Q3" s="2">
        <v>26484</v>
      </c>
      <c r="S3" s="3" t="s">
        <v>4</v>
      </c>
      <c r="T3" t="s">
        <v>10</v>
      </c>
      <c r="V3" s="4" t="s">
        <v>6</v>
      </c>
      <c r="W3" s="2">
        <v>1653</v>
      </c>
      <c r="Y3" s="4" t="s">
        <v>46</v>
      </c>
      <c r="Z3" s="7">
        <v>0.27397260273972601</v>
      </c>
    </row>
    <row r="4" spans="3:26" x14ac:dyDescent="0.3">
      <c r="I4" s="4" t="s">
        <v>14</v>
      </c>
      <c r="J4" s="10">
        <v>706581.82</v>
      </c>
      <c r="L4" s="4" t="s">
        <v>22</v>
      </c>
      <c r="M4" s="6">
        <v>4.4985383638366372</v>
      </c>
      <c r="P4" s="4" t="s">
        <v>27</v>
      </c>
      <c r="Q4" s="2">
        <v>26276</v>
      </c>
      <c r="S4" s="4" t="s">
        <v>33</v>
      </c>
      <c r="T4" s="1">
        <v>471360.80000000045</v>
      </c>
      <c r="V4" s="4" t="s">
        <v>7</v>
      </c>
      <c r="W4" s="2">
        <v>1773</v>
      </c>
      <c r="Y4" s="4" t="s">
        <v>47</v>
      </c>
      <c r="Z4" s="7">
        <v>0.72602739726027388</v>
      </c>
    </row>
    <row r="5" spans="3:26" x14ac:dyDescent="0.3">
      <c r="I5" s="4" t="s">
        <v>19</v>
      </c>
      <c r="J5" s="10">
        <v>662859.52200000046</v>
      </c>
      <c r="L5" s="4" t="s">
        <v>21</v>
      </c>
      <c r="M5" s="6">
        <v>4.4818900115833911</v>
      </c>
      <c r="P5" s="4" t="s">
        <v>28</v>
      </c>
      <c r="Q5" s="2">
        <v>25615</v>
      </c>
      <c r="S5" s="4" t="s">
        <v>34</v>
      </c>
      <c r="T5" s="1">
        <v>452686.21000000054</v>
      </c>
      <c r="V5" s="4" t="s">
        <v>8</v>
      </c>
      <c r="W5" s="2">
        <v>1387</v>
      </c>
      <c r="Y5" s="4" t="s">
        <v>5</v>
      </c>
      <c r="Z5" s="7">
        <v>1</v>
      </c>
    </row>
    <row r="6" spans="3:26" x14ac:dyDescent="0.3">
      <c r="I6" s="4" t="s">
        <v>18</v>
      </c>
      <c r="J6" s="10">
        <v>544465.71300000045</v>
      </c>
      <c r="L6" s="4" t="s">
        <v>25</v>
      </c>
      <c r="M6" s="6">
        <v>4.1904615829189202</v>
      </c>
      <c r="P6" s="4" t="s">
        <v>29</v>
      </c>
      <c r="Q6" s="2">
        <v>25054</v>
      </c>
      <c r="S6" s="4" t="s">
        <v>35</v>
      </c>
      <c r="T6" s="1">
        <v>398441.3700000004</v>
      </c>
      <c r="V6" s="4" t="s">
        <v>9</v>
      </c>
      <c r="W6" s="2">
        <v>1372</v>
      </c>
    </row>
    <row r="7" spans="3:26" x14ac:dyDescent="0.3">
      <c r="I7" s="4" t="s">
        <v>11</v>
      </c>
      <c r="J7" s="10">
        <v>505826.57699999987</v>
      </c>
      <c r="L7" s="4" t="s">
        <v>24</v>
      </c>
      <c r="M7" s="6">
        <v>4.0946439094429286</v>
      </c>
      <c r="P7" s="4" t="s">
        <v>31</v>
      </c>
      <c r="Q7" s="2">
        <v>24890</v>
      </c>
      <c r="S7" s="4" t="s">
        <v>36</v>
      </c>
      <c r="T7" s="1">
        <v>482492.51000000036</v>
      </c>
      <c r="V7" s="4" t="s">
        <v>5</v>
      </c>
      <c r="W7" s="2">
        <v>6185</v>
      </c>
    </row>
    <row r="8" spans="3:26" x14ac:dyDescent="0.3">
      <c r="I8" s="4" t="s">
        <v>15</v>
      </c>
      <c r="J8" s="10">
        <v>493242.19750000018</v>
      </c>
      <c r="L8" s="4" t="s">
        <v>5</v>
      </c>
      <c r="M8" s="6">
        <v>4.3829407563502718</v>
      </c>
      <c r="P8" s="4" t="s">
        <v>5</v>
      </c>
      <c r="Q8" s="2">
        <v>128319</v>
      </c>
      <c r="S8" s="4" t="s">
        <v>37</v>
      </c>
      <c r="T8" s="1">
        <v>510903.19000000058</v>
      </c>
    </row>
    <row r="9" spans="3:26" x14ac:dyDescent="0.3">
      <c r="I9" s="4" t="s">
        <v>13</v>
      </c>
      <c r="J9" s="10">
        <v>358794.38399999961</v>
      </c>
      <c r="S9" s="4" t="s">
        <v>38</v>
      </c>
      <c r="T9" s="1">
        <v>441923.85000000044</v>
      </c>
    </row>
    <row r="10" spans="3:26" x14ac:dyDescent="0.3">
      <c r="I10" s="4" t="s">
        <v>16</v>
      </c>
      <c r="J10" s="10">
        <v>312617.3560000002</v>
      </c>
      <c r="S10" s="4" t="s">
        <v>39</v>
      </c>
      <c r="T10" s="1">
        <v>426109.12000000046</v>
      </c>
    </row>
    <row r="11" spans="3:26" x14ac:dyDescent="0.3">
      <c r="I11" s="4" t="s">
        <v>12</v>
      </c>
      <c r="J11" s="10">
        <v>275324.60099999979</v>
      </c>
      <c r="S11" s="4" t="s">
        <v>40</v>
      </c>
      <c r="T11" s="1">
        <v>465847.74000000011</v>
      </c>
    </row>
    <row r="12" spans="3:26" x14ac:dyDescent="0.3">
      <c r="I12" s="4" t="s">
        <v>17</v>
      </c>
      <c r="J12" s="10">
        <v>218679.52050000039</v>
      </c>
      <c r="S12" s="4" t="s">
        <v>41</v>
      </c>
      <c r="T12" s="1">
        <v>529500.94000000088</v>
      </c>
    </row>
    <row r="13" spans="3:26" x14ac:dyDescent="0.3">
      <c r="I13" s="4" t="s">
        <v>5</v>
      </c>
      <c r="J13" s="7">
        <v>4907352.1709999815</v>
      </c>
      <c r="S13" s="4" t="s">
        <v>42</v>
      </c>
      <c r="T13" s="1">
        <v>455537.3600000008</v>
      </c>
    </row>
    <row r="14" spans="3:26" x14ac:dyDescent="0.3">
      <c r="S14" s="4" t="s">
        <v>43</v>
      </c>
      <c r="T14" s="1">
        <v>440766.09000000043</v>
      </c>
    </row>
    <row r="15" spans="3:26" x14ac:dyDescent="0.3">
      <c r="S15" s="4" t="s">
        <v>44</v>
      </c>
      <c r="T15" s="1">
        <v>457857.9600000006</v>
      </c>
    </row>
    <row r="16" spans="3:26" x14ac:dyDescent="0.3">
      <c r="S16" s="4" t="s">
        <v>5</v>
      </c>
      <c r="T16" s="1">
        <v>5533427.1399999717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ED1F6-8BB0-46D1-A65D-D43B64E84FA4}">
  <dimension ref="A1"/>
  <sheetViews>
    <sheetView showGridLines="0" tabSelected="1" zoomScale="59" workbookViewId="0">
      <selection activeCell="AM63" sqref="AM63"/>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C21948CF-4EA4-4896-8FDE-A9499C7CBC4D}">
  <ds:schemaRefs/>
</ds:datastoreItem>
</file>

<file path=customXml/itemProps2.xml><?xml version="1.0" encoding="utf-8"?>
<ds:datastoreItem xmlns:ds="http://schemas.openxmlformats.org/officeDocument/2006/customXml" ds:itemID="{B8566EC8-1383-4FDF-8CDD-A5502B324A85}">
  <ds:schemaRefs/>
</ds:datastoreItem>
</file>

<file path=customXml/itemProps3.xml><?xml version="1.0" encoding="utf-8"?>
<ds:datastoreItem xmlns:ds="http://schemas.openxmlformats.org/officeDocument/2006/customXml" ds:itemID="{C7EA0AED-DA31-468F-ACA8-D47080DF847A}">
  <ds:schemaRefs/>
</ds:datastoreItem>
</file>

<file path=customXml/itemProps4.xml><?xml version="1.0" encoding="utf-8"?>
<ds:datastoreItem xmlns:ds="http://schemas.openxmlformats.org/officeDocument/2006/customXml" ds:itemID="{8C37059A-7666-4BEA-A7C3-8949F70A629F}">
  <ds:schemaRefs/>
</ds:datastoreItem>
</file>

<file path=customXml/itemProps5.xml><?xml version="1.0" encoding="utf-8"?>
<ds:datastoreItem xmlns:ds="http://schemas.openxmlformats.org/officeDocument/2006/customXml" ds:itemID="{63E3D8E4-8327-411C-9013-E561C8EC6D03}">
  <ds:schemaRefs/>
</ds:datastoreItem>
</file>

<file path=customXml/itemProps6.xml><?xml version="1.0" encoding="utf-8"?>
<ds:datastoreItem xmlns:ds="http://schemas.openxmlformats.org/officeDocument/2006/customXml" ds:itemID="{B15D7953-4AFF-48BB-8628-BB6003951C1C}">
  <ds:schemaRefs/>
</ds:datastoreItem>
</file>

<file path=customXml/itemProps7.xml><?xml version="1.0" encoding="utf-8"?>
<ds:datastoreItem xmlns:ds="http://schemas.openxmlformats.org/officeDocument/2006/customXml" ds:itemID="{F993CD60-3741-41D5-9C9D-3FA9D35B71A2}">
  <ds:schemaRefs/>
</ds:datastoreItem>
</file>

<file path=customXml/itemProps8.xml><?xml version="1.0" encoding="utf-8"?>
<ds:datastoreItem xmlns:ds="http://schemas.openxmlformats.org/officeDocument/2006/customXml" ds:itemID="{2D57E061-7C53-4655-9F5F-DCF4524A8CB5}">
  <ds:schemaRefs/>
</ds:datastoreItem>
</file>

<file path=customXml/itemProps9.xml><?xml version="1.0" encoding="utf-8"?>
<ds:datastoreItem xmlns:ds="http://schemas.openxmlformats.org/officeDocument/2006/customXml" ds:itemID="{618D9358-6A24-47CC-9E3B-880264899965}">
  <ds:schemaRefs/>
</ds:datastoreItem>
</file>

<file path=customXml/itemProps10.xml><?xml version="1.0" encoding="utf-8"?>
<ds:datastoreItem xmlns:ds="http://schemas.openxmlformats.org/officeDocument/2006/customXml" ds:itemID="{28F7ECAC-4A8C-4335-B2A5-7EF58119847A}">
  <ds:schemaRefs/>
</ds:datastoreItem>
</file>

<file path=customXml/itemProps11.xml><?xml version="1.0" encoding="utf-8"?>
<ds:datastoreItem xmlns:ds="http://schemas.openxmlformats.org/officeDocument/2006/customXml" ds:itemID="{64699CEC-B91E-4100-A438-E019A472DDFE}">
  <ds:schemaRefs/>
</ds:datastoreItem>
</file>

<file path=customXml/itemProps12.xml><?xml version="1.0" encoding="utf-8"?>
<ds:datastoreItem xmlns:ds="http://schemas.openxmlformats.org/officeDocument/2006/customXml" ds:itemID="{6D24C290-2D8B-4AD0-8D3E-FB399EF3330F}">
  <ds:schemaRefs/>
</ds:datastoreItem>
</file>

<file path=customXml/itemProps13.xml><?xml version="1.0" encoding="utf-8"?>
<ds:datastoreItem xmlns:ds="http://schemas.openxmlformats.org/officeDocument/2006/customXml" ds:itemID="{B3F348D0-1607-44B9-B34B-0F3B2AD7ACAC}">
  <ds:schemaRefs/>
</ds:datastoreItem>
</file>

<file path=customXml/itemProps14.xml><?xml version="1.0" encoding="utf-8"?>
<ds:datastoreItem xmlns:ds="http://schemas.openxmlformats.org/officeDocument/2006/customXml" ds:itemID="{01A8F5ED-A924-460A-9655-C69E91474DDC}">
  <ds:schemaRefs/>
</ds:datastoreItem>
</file>

<file path=customXml/itemProps15.xml><?xml version="1.0" encoding="utf-8"?>
<ds:datastoreItem xmlns:ds="http://schemas.openxmlformats.org/officeDocument/2006/customXml" ds:itemID="{4FDD1760-4BE8-41E2-A6FB-A41B590B5441}">
  <ds:schemaRefs/>
</ds:datastoreItem>
</file>

<file path=customXml/itemProps16.xml><?xml version="1.0" encoding="utf-8"?>
<ds:datastoreItem xmlns:ds="http://schemas.openxmlformats.org/officeDocument/2006/customXml" ds:itemID="{ECB0C838-7E16-406B-ADF7-78AAFFCEEDFD}">
  <ds:schemaRefs/>
</ds:datastoreItem>
</file>

<file path=customXml/itemProps17.xml><?xml version="1.0" encoding="utf-8"?>
<ds:datastoreItem xmlns:ds="http://schemas.openxmlformats.org/officeDocument/2006/customXml" ds:itemID="{6E8AC793-6A32-4ED6-9DCF-917538015CDE}">
  <ds:schemaRefs>
    <ds:schemaRef ds:uri="http://schemas.microsoft.com/DataMashup"/>
  </ds:schemaRefs>
</ds:datastoreItem>
</file>

<file path=customXml/itemProps18.xml><?xml version="1.0" encoding="utf-8"?>
<ds:datastoreItem xmlns:ds="http://schemas.openxmlformats.org/officeDocument/2006/customXml" ds:itemID="{49C5DC85-19E6-49B9-A51F-5BAB5B57A8DF}">
  <ds:schemaRefs/>
</ds:datastoreItem>
</file>

<file path=customXml/itemProps19.xml><?xml version="1.0" encoding="utf-8"?>
<ds:datastoreItem xmlns:ds="http://schemas.openxmlformats.org/officeDocument/2006/customXml" ds:itemID="{8D73CF69-FB3D-4214-9E79-5C9244FE17E5}">
  <ds:schemaRefs/>
</ds:datastoreItem>
</file>

<file path=customXml/itemProps20.xml><?xml version="1.0" encoding="utf-8"?>
<ds:datastoreItem xmlns:ds="http://schemas.openxmlformats.org/officeDocument/2006/customXml" ds:itemID="{BCFECB5B-E406-49DF-93D8-5C050DE56C46}">
  <ds:schemaRefs/>
</ds:datastoreItem>
</file>

<file path=customXml/itemProps21.xml><?xml version="1.0" encoding="utf-8"?>
<ds:datastoreItem xmlns:ds="http://schemas.openxmlformats.org/officeDocument/2006/customXml" ds:itemID="{446C4F09-F4F6-4276-BC9D-91FAAE6CD62F}">
  <ds:schemaRefs/>
</ds:datastoreItem>
</file>

<file path=customXml/itemProps22.xml><?xml version="1.0" encoding="utf-8"?>
<ds:datastoreItem xmlns:ds="http://schemas.openxmlformats.org/officeDocument/2006/customXml" ds:itemID="{FE5EC4CD-B043-45F1-B973-815F42CCBE45}">
  <ds:schemaRefs/>
</ds:datastoreItem>
</file>

<file path=customXml/itemProps23.xml><?xml version="1.0" encoding="utf-8"?>
<ds:datastoreItem xmlns:ds="http://schemas.openxmlformats.org/officeDocument/2006/customXml" ds:itemID="{F6D9F3A2-E1D6-4441-9BC8-73CC704473AF}">
  <ds:schemaRefs/>
</ds:datastoreItem>
</file>

<file path=customXml/itemProps24.xml><?xml version="1.0" encoding="utf-8"?>
<ds:datastoreItem xmlns:ds="http://schemas.openxmlformats.org/officeDocument/2006/customXml" ds:itemID="{9C20EC9F-395F-44BF-97E2-005E95F46916}">
  <ds:schemaRefs/>
</ds:datastoreItem>
</file>

<file path=customXml/itemProps25.xml><?xml version="1.0" encoding="utf-8"?>
<ds:datastoreItem xmlns:ds="http://schemas.openxmlformats.org/officeDocument/2006/customXml" ds:itemID="{28879FAA-AF02-4230-B754-3EEE79125521}">
  <ds:schemaRefs/>
</ds:datastoreItem>
</file>

<file path=customXml/itemProps26.xml><?xml version="1.0" encoding="utf-8"?>
<ds:datastoreItem xmlns:ds="http://schemas.openxmlformats.org/officeDocument/2006/customXml" ds:itemID="{6E39654F-AA1F-4D7B-AD3C-32A85A03C752}">
  <ds:schemaRefs/>
</ds:datastoreItem>
</file>

<file path=customXml/itemProps27.xml><?xml version="1.0" encoding="utf-8"?>
<ds:datastoreItem xmlns:ds="http://schemas.openxmlformats.org/officeDocument/2006/customXml" ds:itemID="{FDBE60B6-52DD-472E-B368-450C12126E66}">
  <ds:schemaRefs/>
</ds:datastoreItem>
</file>

<file path=customXml/itemProps28.xml><?xml version="1.0" encoding="utf-8"?>
<ds:datastoreItem xmlns:ds="http://schemas.openxmlformats.org/officeDocument/2006/customXml" ds:itemID="{A8BADB96-D555-4D6C-A248-4B9E840CD257}">
  <ds:schemaRefs/>
</ds:datastoreItem>
</file>

<file path=customXml/itemProps29.xml><?xml version="1.0" encoding="utf-8"?>
<ds:datastoreItem xmlns:ds="http://schemas.openxmlformats.org/officeDocument/2006/customXml" ds:itemID="{45C8C8F0-84D0-407B-B94D-78F89FE3E1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 elkady</dc:creator>
  <cp:lastModifiedBy>salma elkady</cp:lastModifiedBy>
  <dcterms:created xsi:type="dcterms:W3CDTF">2026-05-13T10:15:34Z</dcterms:created>
  <dcterms:modified xsi:type="dcterms:W3CDTF">2026-05-13T20:15:03Z</dcterms:modified>
</cp:coreProperties>
</file>